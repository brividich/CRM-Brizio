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.bova\Desktop\"/>
    </mc:Choice>
  </mc:AlternateContent>
  <xr:revisionPtr revIDLastSave="0" documentId="8_{B8D7FED1-28AD-4332-B141-5DD98C97FC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RF" sheetId="14" r:id="rId1"/>
    <sheet name="AC" sheetId="13" r:id="rId2"/>
  </sheets>
  <definedNames>
    <definedName name="_GoBack" localSheetId="1">AC!#REF!</definedName>
    <definedName name="_GoBack" localSheetId="0">VRF!#REF!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55" i="14" l="1"/>
  <c r="AN49" i="14"/>
  <c r="AN45" i="14"/>
  <c r="AN39" i="14"/>
  <c r="AN34" i="14"/>
  <c r="AN28" i="14"/>
  <c r="AN21" i="14"/>
  <c r="AN17" i="14"/>
  <c r="AN7" i="14"/>
  <c r="AG55" i="14"/>
  <c r="AG49" i="14"/>
  <c r="AG45" i="14"/>
  <c r="AG34" i="14"/>
  <c r="AG39" i="14"/>
  <c r="AG28" i="14"/>
  <c r="AG21" i="14"/>
  <c r="AG17" i="14"/>
  <c r="AG7" i="14"/>
  <c r="U55" i="14"/>
  <c r="Z55" i="14" s="1"/>
  <c r="U45" i="14"/>
  <c r="Z45" i="14" s="1"/>
  <c r="U39" i="14"/>
  <c r="Z39" i="14" s="1"/>
  <c r="U34" i="14"/>
  <c r="Z34" i="14" s="1"/>
  <c r="U28" i="14"/>
  <c r="Z28" i="14" s="1"/>
  <c r="X27" i="14"/>
  <c r="U21" i="14"/>
  <c r="Z21" i="14" s="1"/>
  <c r="U17" i="14"/>
  <c r="Z17" i="14" s="1"/>
  <c r="U7" i="14"/>
  <c r="Z7" i="14" s="1"/>
  <c r="U49" i="14"/>
  <c r="Z49" i="14" s="1"/>
  <c r="X60" i="14"/>
  <c r="X59" i="14"/>
  <c r="X58" i="14"/>
  <c r="X57" i="14"/>
  <c r="X56" i="14"/>
  <c r="X54" i="14"/>
  <c r="X53" i="14"/>
  <c r="X52" i="14"/>
  <c r="X51" i="14"/>
  <c r="X50" i="14"/>
  <c r="X48" i="14"/>
  <c r="X47" i="14"/>
  <c r="X46" i="14"/>
  <c r="X44" i="14"/>
  <c r="X43" i="14"/>
  <c r="X42" i="14"/>
  <c r="X41" i="14"/>
  <c r="X40" i="14"/>
  <c r="X38" i="14"/>
  <c r="X37" i="14"/>
  <c r="X36" i="14"/>
  <c r="X35" i="14"/>
  <c r="X33" i="14"/>
  <c r="X32" i="14"/>
  <c r="X31" i="14"/>
  <c r="X30" i="14"/>
  <c r="X29" i="14"/>
  <c r="X26" i="14"/>
  <c r="X25" i="14"/>
  <c r="X24" i="14"/>
  <c r="X23" i="14"/>
  <c r="X22" i="14"/>
  <c r="X20" i="14"/>
  <c r="X19" i="14"/>
  <c r="X18" i="14"/>
  <c r="X16" i="14"/>
  <c r="X15" i="14"/>
  <c r="X14" i="14"/>
  <c r="X13" i="14"/>
  <c r="X12" i="14"/>
  <c r="X11" i="14"/>
  <c r="X10" i="14"/>
  <c r="X9" i="14"/>
  <c r="X8" i="14"/>
  <c r="AN61" i="14" l="1"/>
  <c r="AG61" i="14"/>
  <c r="Z61" i="14"/>
</calcChain>
</file>

<file path=xl/sharedStrings.xml><?xml version="1.0" encoding="utf-8"?>
<sst xmlns="http://schemas.openxmlformats.org/spreadsheetml/2006/main" count="200" uniqueCount="151">
  <si>
    <t>K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</si>
  <si>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</si>
  <si>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</si>
  <si>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</si>
  <si>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</si>
  <si>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</si>
  <si>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</si>
  <si>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</si>
  <si>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</si>
  <si>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</si>
  <si>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Impatto (K)</t>
  </si>
  <si>
    <t>Probabilità (R)</t>
  </si>
  <si>
    <t>Cliente</t>
  </si>
  <si>
    <t xml:space="preserve">Preventivo n° </t>
  </si>
  <si>
    <t>P/N</t>
  </si>
  <si>
    <t>IN1</t>
  </si>
  <si>
    <t xml:space="preserve">COM </t>
  </si>
  <si>
    <t>Esp</t>
  </si>
  <si>
    <t>d</t>
  </si>
  <si>
    <t>c</t>
  </si>
  <si>
    <t>b</t>
  </si>
  <si>
    <t>a</t>
  </si>
  <si>
    <t>PARAMETRI IN VALUTAZIONE</t>
  </si>
  <si>
    <t>e</t>
  </si>
  <si>
    <t>OPM</t>
  </si>
  <si>
    <t>Preventivazione / Offerta</t>
  </si>
  <si>
    <t>ENTE</t>
  </si>
  <si>
    <t>Produzione e Consegna</t>
  </si>
  <si>
    <t>Utilizzo di Sostanze Chimiche</t>
  </si>
  <si>
    <t>Disponibilità e Numero di Risorse con Idonea Esperienza (Skill Matrix)</t>
  </si>
  <si>
    <t>Idoneità, Complessità e Comprensione della Documentazione Tecnica (Disegni 2D, DBT, Modelli 3D, Cicli e Fogli Operativi del Cliente)</t>
  </si>
  <si>
    <t>Disponibilità e Comprensione Eventuale Target Economico</t>
  </si>
  <si>
    <t>Idoneità e Comprensione dei Requisiti di Collaudo per Forniture Successive (PDC, Quote Critiche, Evidenze Fotografiche…)</t>
  </si>
  <si>
    <t>Idoneità e Comprensione di Informazioni inerenti REACH o Conflict Minerals</t>
  </si>
  <si>
    <r>
      <t>Conoscenza e</t>
    </r>
    <r>
      <rPr>
        <sz val="14"/>
        <rFont val="Calibri"/>
        <family val="2"/>
        <scheme val="minor"/>
      </rPr>
      <t xml:space="preserve"> Fattibilità</t>
    </r>
    <r>
      <rPr>
        <sz val="14"/>
        <color theme="1"/>
        <rFont val="Calibri"/>
        <family val="2"/>
        <scheme val="minor"/>
      </rPr>
      <t xml:space="preserve"> Metodo di Mantenimento / Conservazione</t>
    </r>
  </si>
  <si>
    <t>Difficoltà Movimentazione causa Dimensioni e Peso del particolare</t>
  </si>
  <si>
    <r>
      <rPr>
        <sz val="14"/>
        <rFont val="Calibri"/>
        <family val="2"/>
        <scheme val="minor"/>
      </rPr>
      <t>Criticità</t>
    </r>
    <r>
      <rPr>
        <sz val="14"/>
        <color theme="1"/>
        <rFont val="Calibri"/>
        <family val="2"/>
        <scheme val="minor"/>
      </rPr>
      <t xml:space="preserve"> di lavorazione del materiale e necessità di eventuali accorgimenti (Infiammabilità, Esalazioni…)</t>
    </r>
  </si>
  <si>
    <t>Lavorabilità Materiale di Partenza  (durezza, surriscaldamento, necessità utensili speciali…)</t>
  </si>
  <si>
    <t>Particolare soggetto a deformazioni (presenza di spessori sottili, instabilità del pezzo, deformazioni dovute a trattamenti,...)</t>
  </si>
  <si>
    <t>Difficile reperbilità e/o criticità dei tempi di approvigionamento di normaleria (componenti disponibili a stock, numero fornitori alternativi, attendibilità consegne,...)</t>
  </si>
  <si>
    <t>Disponibilità strumenti e criteri di accettazione materiali/normaleria</t>
  </si>
  <si>
    <t>Difficile reperbilità e/o criticità dei lead time di processo (tempi di attrezzaggio fornitore, numero fornitori alternativi, attendibilità consegne,...)</t>
  </si>
  <si>
    <t>Disponibilità strumenti e criteri di accettazione materiali processati</t>
  </si>
  <si>
    <t>Elevata esposizione finanziaria complessiva derivante da acquisto materiali/normaleria</t>
  </si>
  <si>
    <t>Incidenza elevata di eventuali MOQ su valore economico del singolo prodotto</t>
  </si>
  <si>
    <t>Disponibilità e Numero di Risorse con Idonea Qualifica (Skill Matrix)</t>
  </si>
  <si>
    <t>Disponibilità di Metodologie Produttive alternative  (metodi alternativi di costruzione, spostamento fasi su altri reparti o presso terzisti)</t>
  </si>
  <si>
    <t>Criticità di bilanciamento tra Fasi / Reparti /Impianti (Colli di Bottiglia)</t>
  </si>
  <si>
    <t>Disponibilità e Manutenzione Impianti di Produzione e Collaudo</t>
  </si>
  <si>
    <t>Disponibilità e Manutenzione Impianti appositamente qualificati</t>
  </si>
  <si>
    <t>Disponibilità Mezzi di Produzione e Collaudo nel periodo richiesto (verifica carichi macchina previsti e disponibilità personale)</t>
  </si>
  <si>
    <t>Situazione Crediti verso Cliente</t>
  </si>
  <si>
    <t>Disponibilità Risorse Finanziarie adeguate all'attività</t>
  </si>
  <si>
    <t>Disponibilità e Comprensione norme applicative di eventuali penali (addebito scarto fusioni, sanzioni ritardo consegne,…)</t>
  </si>
  <si>
    <t>Disponibilità Risorse per Industrializzazione nel periodo richiesto (verifica carichi ingegneria e programmatori)</t>
  </si>
  <si>
    <t>Idoneità e Comprensione Condizioni di Fornitura ( incluso/escluso Materie Prime, Normaleria, Attrezzature, Strumenti di Collaudo, Utensili)</t>
  </si>
  <si>
    <t>Idoneità e Comprensione Specifiche e Norme richiamate, Lista Fornitori/Terzisti qualificati dal Cliente</t>
  </si>
  <si>
    <t>Difficoltà di Lavorazione, Collaudo, Movimentazione e/o Stoccaggio legate a Fattori Dimensionali (Ingombro, Peso, Forma,...)</t>
  </si>
  <si>
    <t>Disponibilità e Manutenzione Attrezzature di Produzione (divisore, lunetta o altre attrezzature specifiche)</t>
  </si>
  <si>
    <t>Incidenza elevata del processo su valore economico del singolo prodotto (costo processo, attrezzaggio, minimo fatturabile)</t>
  </si>
  <si>
    <t>f</t>
  </si>
  <si>
    <t>g</t>
  </si>
  <si>
    <t>h</t>
  </si>
  <si>
    <t>i</t>
  </si>
  <si>
    <t>Disponibilità e Comprensione Piani di Consegna (quantità e numerosità dei lotti, schedulazione date di consegna, deathlines....)</t>
  </si>
  <si>
    <t xml:space="preserve"> Possibilità di verificare Commesse analoghe (metodo e tempi di lavoro, lessons learned,…)</t>
  </si>
  <si>
    <t>Fattibilità di Lavorazione e Collaudo di eventuali Tolleranze e/o Lavorazioni Critiche (necessità di utensili o strumenti di misura speciali)</t>
  </si>
  <si>
    <t>Difficile reperibilità e/o criticità dei tempi di approvigionamento della materia prima (materiale disponibile a stock, numero fornitori alternativi, attendibilità consegne,...)</t>
  </si>
  <si>
    <t>Idoneità e Comprensione informazioni su processi speciali richiesti da cliente</t>
  </si>
  <si>
    <t>Verifica validità della qualifica fornitore da parte del cliente</t>
  </si>
  <si>
    <t>Probabilità di variazione significativa del costo di Fornitori/Terzisti</t>
  </si>
  <si>
    <t>Complessità di Gestione Clienti/Fornitori Esteri (Normative, Costi di Dogana)</t>
  </si>
  <si>
    <t>Onerosità di eventuali addebiti del cliente per non conformità o ritardi di consegna</t>
  </si>
  <si>
    <t>Disponibilità e Taratura Apparecchiature di Collaudo (tastatori speciali o altri apparecchi di misura specifici)</t>
  </si>
  <si>
    <t>Disponibilità e Manutenzione idonei strumenti di movimentazione e aree di stoccaggio</t>
  </si>
  <si>
    <t>DATA</t>
  </si>
  <si>
    <t>RILEVAZIONE</t>
  </si>
  <si>
    <t>Rischio di Mancata comprensione dei Requisiti di Fornitura</t>
  </si>
  <si>
    <t>Rischio Sicurezza dei Lavoratori e Ambiente</t>
  </si>
  <si>
    <t>Rischio di Inadeguatezza tecnica e tecnologica dei mezzi di produzione e collaudo</t>
  </si>
  <si>
    <t>Rischio di Errata Pianificazione delle attività interne</t>
  </si>
  <si>
    <t>Rischio connesso all'Approvvigionamento materiali di partenza e/o assemblaggio</t>
  </si>
  <si>
    <t>Rischio connesso alla Gestione fasi di trasformazione esterne</t>
  </si>
  <si>
    <t>Rischio connesso alla gestione dei Processi Speciali</t>
  </si>
  <si>
    <t xml:space="preserve">Rischio Economico - Finanziario </t>
  </si>
  <si>
    <t>Idoneità e Comprensione dei Requisiti Validazione Tecnologica per Prima fornitura (o per passaggio da Proto a Serie)</t>
  </si>
  <si>
    <t>Rischio di Fattibilità dei processi di trasformazione, conservazione e collaudo</t>
  </si>
  <si>
    <t>Rmax</t>
  </si>
  <si>
    <t>Data Chiusura</t>
  </si>
  <si>
    <t>VALUTAZIONE</t>
  </si>
  <si>
    <t>AZIONE MITIGAZIONE RISCHIO</t>
  </si>
  <si>
    <t xml:space="preserve">IIndustrializzazione </t>
  </si>
  <si>
    <t>P</t>
  </si>
  <si>
    <t>Ente Chiusura</t>
  </si>
  <si>
    <t>R1a</t>
  </si>
  <si>
    <t>R2a</t>
  </si>
  <si>
    <t>R1b</t>
  </si>
  <si>
    <t>R3a</t>
  </si>
  <si>
    <t>Rischio</t>
  </si>
  <si>
    <t>R4a</t>
  </si>
  <si>
    <t>R5a</t>
  </si>
  <si>
    <t>R6a</t>
  </si>
  <si>
    <t>R7a</t>
  </si>
  <si>
    <t>R8a</t>
  </si>
  <si>
    <t>R9a</t>
  </si>
  <si>
    <t>R1c</t>
  </si>
  <si>
    <t>R1d</t>
  </si>
  <si>
    <t>R1e</t>
  </si>
  <si>
    <t>R1f</t>
  </si>
  <si>
    <t>R1g</t>
  </si>
  <si>
    <t>R1h</t>
  </si>
  <si>
    <t>R1i</t>
  </si>
  <si>
    <t>R2b</t>
  </si>
  <si>
    <t>R2c</t>
  </si>
  <si>
    <t>R3b</t>
  </si>
  <si>
    <t>R3c</t>
  </si>
  <si>
    <t>R3d</t>
  </si>
  <si>
    <t>R3e</t>
  </si>
  <si>
    <t>R3f</t>
  </si>
  <si>
    <t>R4b</t>
  </si>
  <si>
    <t>R4c</t>
  </si>
  <si>
    <t>R4d</t>
  </si>
  <si>
    <t>R4e</t>
  </si>
  <si>
    <t>R5b</t>
  </si>
  <si>
    <t>R5c</t>
  </si>
  <si>
    <t>R5d</t>
  </si>
  <si>
    <t>R6b</t>
  </si>
  <si>
    <t>R6c</t>
  </si>
  <si>
    <t>R6d</t>
  </si>
  <si>
    <t>R6e</t>
  </si>
  <si>
    <t>R7b</t>
  </si>
  <si>
    <t>R7c</t>
  </si>
  <si>
    <t>R8b</t>
  </si>
  <si>
    <t>R8c</t>
  </si>
  <si>
    <t>R8d</t>
  </si>
  <si>
    <t>R8e</t>
  </si>
  <si>
    <t>R9b</t>
  </si>
  <si>
    <t>R9c</t>
  </si>
  <si>
    <t>R9d</t>
  </si>
  <si>
    <t>R9e</t>
  </si>
  <si>
    <t>I</t>
  </si>
  <si>
    <t>FASE (P/I/C)</t>
  </si>
  <si>
    <t>C</t>
  </si>
  <si>
    <t>Descrizione</t>
  </si>
  <si>
    <t xml:space="preserve">DIG interviene per valutazioni maggiori di 6 sul KR= 3 su R </t>
  </si>
  <si>
    <t>K x Rmedio</t>
  </si>
  <si>
    <r>
      <t>Versione n° (</t>
    </r>
    <r>
      <rPr>
        <b/>
        <sz val="12"/>
        <color rgb="FFFF0000"/>
        <rFont val="Calibri"/>
        <family val="2"/>
        <scheme val="minor"/>
      </rPr>
      <t>compilare solo se non c'è preventivo</t>
    </r>
    <r>
      <rPr>
        <b/>
        <sz val="12"/>
        <color theme="1"/>
        <rFont val="Calibri"/>
        <family val="2"/>
        <scheme val="minor"/>
      </rPr>
      <t>)</t>
    </r>
  </si>
  <si>
    <r>
      <rPr>
        <b/>
        <sz val="16"/>
        <color theme="1"/>
        <rFont val="Calibri"/>
        <family val="2"/>
        <scheme val="minor"/>
      </rPr>
      <t>Rischio</t>
    </r>
    <r>
      <rPr>
        <sz val="16"/>
        <color theme="1"/>
        <rFont val="Calibri"/>
        <family val="2"/>
        <scheme val="minor"/>
      </rPr>
      <t xml:space="preserve">  = </t>
    </r>
    <r>
      <rPr>
        <b/>
        <sz val="16"/>
        <color theme="1"/>
        <rFont val="Calibri"/>
        <family val="2"/>
        <scheme val="minor"/>
      </rPr>
      <t>∑ K x R</t>
    </r>
    <r>
      <rPr>
        <sz val="16"/>
        <color theme="1"/>
        <rFont val="Calibri"/>
        <family val="2"/>
        <scheme val="minor"/>
      </rPr>
      <t xml:space="preserve"> (Basso &lt; 4; Medio tra 4 e 6, Alto ≥6)</t>
    </r>
  </si>
  <si>
    <t>Totale Rischio  (TR)</t>
  </si>
  <si>
    <r>
      <rPr>
        <b/>
        <sz val="16"/>
        <color theme="1"/>
        <rFont val="Calibri"/>
        <family val="2"/>
        <scheme val="minor"/>
      </rPr>
      <t>R Probabilità</t>
    </r>
    <r>
      <rPr>
        <sz val="16"/>
        <color theme="1"/>
        <rFont val="Calibri"/>
        <family val="2"/>
        <scheme val="minor"/>
      </rPr>
      <t xml:space="preserve"> del Rischio:; 0= N/A ; Bassa = 1; Media = 2; Alta = 3</t>
    </r>
  </si>
  <si>
    <r>
      <rPr>
        <b/>
        <sz val="16"/>
        <color theme="1"/>
        <rFont val="Calibri"/>
        <family val="2"/>
        <scheme val="minor"/>
      </rPr>
      <t>TotaleRischio (TR)</t>
    </r>
    <r>
      <rPr>
        <sz val="16"/>
        <color theme="1"/>
        <rFont val="Calibri"/>
        <family val="2"/>
        <scheme val="minor"/>
      </rPr>
      <t xml:space="preserve">  ≥ 46 (Alto) </t>
    </r>
    <r>
      <rPr>
        <sz val="16"/>
        <color rgb="FFFF0000"/>
        <rFont val="Calibri"/>
        <family val="2"/>
        <scheme val="minor"/>
      </rPr>
      <t>si sente DIG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</si>
</sst>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4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0" borderId="0" xfId="0" applyFont="1" applyAlignment="1" applyProtection="1">
      <alignment horizontal="justify" vertical="center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justify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10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14" fontId="4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2" fillId="5" borderId="3" xfId="0" applyFont="1" applyFill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left" vertical="center" wrapTex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6" fillId="7" borderId="3" xfId="0" applyFont="1" applyFill="1" applyBorder="1" applyAlignment="1" applyProtection="1">
      <alignment horizontal="center" vertical="center" wrapText="1"/>
      <protection locked="0"/>
    </xf>
    <xf numFmtId="0" fontId="10" fillId="7" borderId="3" xfId="0" applyFont="1" applyFill="1" applyBorder="1" applyProtection="1">
      <protection locked="0"/>
    </xf>
    <xf numFmtId="0" fontId="5" fillId="4" borderId="3" xfId="0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5" fillId="5" borderId="3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Protection="1">
      <protection locked="0"/>
    </xf>
    <xf numFmtId="14" fontId="2" fillId="0" borderId="0" xfId="0" applyNumberFormat="1" applyFont="1" applyAlignment="1" applyProtection="1">
      <alignment horizontal="left" vertical="center"/>
      <protection locked="0"/>
    </xf>
    <xf numFmtId="0" fontId="5" fillId="8" borderId="3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2" fillId="6" borderId="3" xfId="0" applyFont="1" applyFill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vertical="center" textRotation="90" wrapText="1"/>
      <protection locked="0"/>
    </xf>
    <xf numFmtId="0" fontId="0" fillId="0" borderId="0" xfId="0" applyProtection="1">
      <protection locked="0"/>
    </xf>
    <xf numFmtId="2" fontId="5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22" xfId="0" applyFont="1" applyBorder="1" applyAlignment="1" applyProtection="1">
      <alignment vertical="center" wrapText="1"/>
      <protection locked="0"/>
    </xf>
    <xf numFmtId="0" fontId="6" fillId="0" borderId="23" xfId="0" applyFont="1" applyBorder="1" applyAlignment="1" applyProtection="1">
      <alignment vertical="center" wrapText="1"/>
      <protection locked="0"/>
    </xf>
    <xf numFmtId="0" fontId="10" fillId="0" borderId="23" xfId="0" applyFont="1" applyBorder="1" applyProtection="1">
      <protection locked="0"/>
    </xf>
    <xf numFmtId="0" fontId="10" fillId="0" borderId="24" xfId="0" applyFont="1" applyBorder="1" applyProtection="1">
      <protection locked="0"/>
    </xf>
    <xf numFmtId="0" fontId="6" fillId="0" borderId="25" xfId="0" applyFont="1" applyBorder="1" applyAlignment="1" applyProtection="1">
      <alignment vertical="center" wrapText="1"/>
      <protection locked="0"/>
    </xf>
    <xf numFmtId="0" fontId="6" fillId="0" borderId="26" xfId="0" applyFont="1" applyBorder="1" applyAlignment="1" applyProtection="1">
      <alignment vertical="center" wrapText="1"/>
      <protection locked="0"/>
    </xf>
    <xf numFmtId="0" fontId="10" fillId="0" borderId="26" xfId="0" applyFont="1" applyBorder="1" applyProtection="1">
      <protection locked="0"/>
    </xf>
    <xf numFmtId="0" fontId="10" fillId="0" borderId="27" xfId="0" applyFont="1" applyBorder="1" applyProtection="1">
      <protection locked="0"/>
    </xf>
    <xf numFmtId="0" fontId="17" fillId="0" borderId="25" xfId="0" applyFont="1" applyBorder="1" applyAlignment="1" applyProtection="1">
      <alignment vertical="center" wrapText="1"/>
      <protection locked="0"/>
    </xf>
    <xf numFmtId="0" fontId="16" fillId="0" borderId="26" xfId="0" applyFont="1" applyBorder="1" applyAlignment="1" applyProtection="1">
      <alignment vertical="center" wrapText="1"/>
      <protection locked="0"/>
    </xf>
    <xf numFmtId="0" fontId="17" fillId="0" borderId="26" xfId="0" applyFont="1" applyBorder="1" applyAlignment="1" applyProtection="1">
      <alignment vertical="center" wrapText="1"/>
      <protection locked="0"/>
    </xf>
    <xf numFmtId="0" fontId="6" fillId="0" borderId="28" xfId="0" applyFont="1" applyBorder="1" applyAlignment="1" applyProtection="1">
      <alignment vertical="center" wrapText="1"/>
      <protection locked="0"/>
    </xf>
    <xf numFmtId="0" fontId="6" fillId="0" borderId="29" xfId="0" applyFont="1" applyBorder="1" applyAlignment="1" applyProtection="1">
      <alignment vertical="center" wrapText="1"/>
      <protection locked="0"/>
    </xf>
    <xf numFmtId="0" fontId="10" fillId="0" borderId="29" xfId="0" applyFont="1" applyBorder="1" applyProtection="1">
      <protection locked="0"/>
    </xf>
    <xf numFmtId="0" fontId="10" fillId="0" borderId="30" xfId="0" applyFont="1" applyBorder="1" applyProtection="1">
      <protection locked="0"/>
    </xf>
    <xf numFmtId="14" fontId="18" fillId="5" borderId="3" xfId="0" applyNumberFormat="1" applyFont="1" applyFill="1" applyBorder="1" applyAlignment="1" applyProtection="1">
      <alignment horizontal="center" vertical="center"/>
      <protection locked="0"/>
    </xf>
    <xf numFmtId="2" fontId="5" fillId="5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9" borderId="6" xfId="0" applyFont="1" applyFill="1" applyBorder="1" applyAlignment="1" applyProtection="1">
      <alignment horizontal="center" vertical="center" wrapText="1"/>
      <protection locked="0"/>
    </xf>
    <xf numFmtId="0" fontId="2" fillId="9" borderId="7" xfId="0" applyFont="1" applyFill="1" applyBorder="1" applyAlignment="1" applyProtection="1">
      <alignment horizontal="center" vertical="center" wrapText="1"/>
      <protection locked="0"/>
    </xf>
    <xf numFmtId="0" fontId="2" fillId="9" borderId="3" xfId="0" applyFont="1" applyFill="1" applyBorder="1" applyAlignment="1" applyProtection="1">
      <alignment horizontal="center" vertical="center" wrapText="1"/>
      <protection locked="0"/>
    </xf>
    <xf numFmtId="2" fontId="5" fillId="0" borderId="3" xfId="0" applyNumberFormat="1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left"/>
      <protection locked="0"/>
    </xf>
    <xf numFmtId="0" fontId="0" fillId="6" borderId="0" xfId="0" applyFill="1" applyProtection="1">
      <protection locked="0"/>
    </xf>
    <xf numFmtId="0" fontId="8" fillId="0" borderId="2" xfId="0" applyFont="1" applyBorder="1" applyAlignment="1" applyProtection="1">
      <alignment horizontal="left"/>
      <protection locked="0"/>
    </xf>
    <xf numFmtId="0" fontId="8" fillId="0" borderId="16" xfId="0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/>
      <protection locked="0"/>
    </xf>
    <xf numFmtId="0" fontId="10" fillId="0" borderId="31" xfId="0" applyFont="1" applyBorder="1" applyAlignment="1" applyProtection="1">
      <alignment horizontal="center"/>
      <protection locked="0"/>
    </xf>
    <xf numFmtId="0" fontId="5" fillId="0" borderId="21" xfId="0" applyFont="1" applyBorder="1" applyAlignment="1" applyProtection="1">
      <alignment horizontal="center" vertical="center" wrapText="1"/>
      <protection locked="0"/>
    </xf>
    <xf numFmtId="0" fontId="5" fillId="0" borderId="17" xfId="0" applyFont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0" borderId="18" xfId="0" applyFont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 applyProtection="1">
      <alignment horizontal="center" vertical="center" wrapText="1"/>
      <protection locked="0"/>
    </xf>
    <xf numFmtId="0" fontId="5" fillId="4" borderId="3" xfId="0" applyFont="1" applyFill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left" vertical="center" wrapText="1"/>
      <protection locked="0"/>
    </xf>
    <xf numFmtId="0" fontId="8" fillId="0" borderId="16" xfId="0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center" vertical="center" textRotation="90" wrapText="1"/>
      <protection locked="0"/>
    </xf>
    <xf numFmtId="0" fontId="3" fillId="0" borderId="9" xfId="0" applyFont="1" applyBorder="1" applyAlignment="1" applyProtection="1">
      <alignment horizontal="center" vertical="center" textRotation="90" wrapText="1"/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6" fillId="0" borderId="21" xfId="0" applyFont="1" applyBorder="1" applyAlignment="1" applyProtection="1">
      <alignment horizontal="center" vertical="center" wrapText="1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20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5" fillId="10" borderId="4" xfId="0" applyFont="1" applyFill="1" applyBorder="1" applyAlignment="1" applyProtection="1">
      <alignment horizontal="center" vertical="center" wrapText="1"/>
      <protection locked="0"/>
    </xf>
    <xf numFmtId="0" fontId="5" fillId="10" borderId="11" xfId="0" applyFont="1" applyFill="1" applyBorder="1" applyAlignment="1" applyProtection="1">
      <alignment horizontal="center" vertical="center" wrapText="1"/>
      <protection locked="0"/>
    </xf>
    <xf numFmtId="0" fontId="5" fillId="10" borderId="12" xfId="0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6" fillId="0" borderId="12" xfId="0" applyFont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17" fillId="0" borderId="4" xfId="0" applyFont="1" applyBorder="1" applyAlignment="1" applyProtection="1">
      <alignment horizontal="left" vertical="center" wrapText="1"/>
      <protection locked="0"/>
    </xf>
    <xf numFmtId="0" fontId="17" fillId="0" borderId="11" xfId="0" applyFont="1" applyBorder="1" applyAlignment="1" applyProtection="1">
      <alignment horizontal="left" vertical="center" wrapText="1"/>
      <protection locked="0"/>
    </xf>
    <xf numFmtId="0" fontId="17" fillId="0" borderId="12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17" fillId="0" borderId="3" xfId="0" applyFont="1" applyBorder="1" applyAlignment="1" applyProtection="1">
      <alignment horizontal="left" vertical="center" wrapText="1"/>
      <protection locked="0"/>
    </xf>
    <xf numFmtId="0" fontId="16" fillId="0" borderId="3" xfId="0" applyFont="1" applyBorder="1" applyAlignment="1" applyProtection="1">
      <alignment horizontal="left" vertical="center" wrapText="1"/>
      <protection locked="0"/>
    </xf>
    <xf numFmtId="0" fontId="13" fillId="3" borderId="3" xfId="0" applyFont="1" applyFill="1" applyBorder="1" applyAlignment="1" applyProtection="1">
      <alignment horizontal="left" vertical="center" wrapText="1"/>
      <protection locked="0"/>
    </xf>
    <xf numFmtId="0" fontId="9" fillId="3" borderId="3" xfId="0" applyFont="1" applyFill="1" applyBorder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" fillId="0" borderId="21" xfId="0" applyFont="1" applyBorder="1" applyAlignment="1" applyProtection="1">
      <alignment horizontal="left" vertical="center"/>
      <protection locked="0"/>
    </xf>
    <xf numFmtId="0" fontId="2" fillId="0" borderId="19" xfId="0" applyFont="1" applyBorder="1" applyAlignment="1" applyProtection="1">
      <alignment horizontal="left" vertical="center"/>
      <protection locked="0"/>
    </xf>
    <xf numFmtId="0" fontId="2" fillId="0" borderId="17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 wrapText="1"/>
      <protection locked="0"/>
    </xf>
    <xf numFmtId="0" fontId="2" fillId="0" borderId="12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horizontal="left" vertical="center" wrapText="1"/>
      <protection locked="0"/>
    </xf>
    <xf numFmtId="14" fontId="2" fillId="5" borderId="4" xfId="0" applyNumberFormat="1" applyFont="1" applyFill="1" applyBorder="1" applyAlignment="1" applyProtection="1">
      <alignment horizontal="center" vertical="center"/>
      <protection locked="0"/>
    </xf>
    <xf numFmtId="14" fontId="2" fillId="5" borderId="11" xfId="0" applyNumberFormat="1" applyFont="1" applyFill="1" applyBorder="1" applyAlignment="1" applyProtection="1">
      <alignment horizontal="center" vertical="center"/>
      <protection locked="0"/>
    </xf>
    <xf numFmtId="0" fontId="2" fillId="5" borderId="4" xfId="0" applyFont="1" applyFill="1" applyBorder="1" applyAlignment="1" applyProtection="1">
      <alignment horizontal="center" vertical="center" wrapText="1"/>
      <protection locked="0"/>
    </xf>
    <xf numFmtId="0" fontId="2" fillId="5" borderId="11" xfId="0" applyFont="1" applyFill="1" applyBorder="1" applyAlignment="1" applyProtection="1">
      <alignment horizontal="center" vertical="center" wrapText="1"/>
      <protection locked="0"/>
    </xf>
  </cellXfs>
  <cellStyles count="1">
    <cellStyle name="Normale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5D73D-1B68-40E8-AD5F-66EDF0F6B58C}">
  <sheetPr>
    <pageSetUpPr fitToPage="1"/>
  </sheetPr>
  <dimension ref="A1:AN126"/>
  <sheetViews>
    <sheetView tabSelected="1" zoomScale="70" zoomScaleNormal="70" zoomScaleSheetLayoutView="84" workbookViewId="0">
      <pane xSplit="20" ySplit="6" topLeftCell="AB7" activePane="bottomRight" state="frozen"/>
      <selection pane="topRight" activeCell="W1" sqref="W1"/>
      <selection pane="bottomLeft" activeCell="A7" sqref="A7"/>
      <selection pane="bottomRight" activeCell="AE8" sqref="AE8"/>
    </sheetView>
  </sheetViews>
  <sheetFormatPr defaultColWidth="9.140625" defaultRowHeight="15" outlineLevelRow="1" x14ac:dyDescent="0.25"/>
  <cols>
    <col min="1" max="1" width="5.7109375" style="36" customWidth="1"/>
    <col min="2" max="2" width="5.140625" style="10" customWidth="1"/>
    <col min="3" max="3" width="26.7109375" style="10" bestFit="1" customWidth="1"/>
    <col min="4" max="7" width="4.5703125" style="10" customWidth="1"/>
    <col min="8" max="8" width="5" style="10" customWidth="1"/>
    <col min="9" max="9" width="27.28515625" style="10" customWidth="1"/>
    <col min="10" max="13" width="4.5703125" style="10" customWidth="1"/>
    <col min="14" max="14" width="6.140625" style="10" bestFit="1" customWidth="1"/>
    <col min="15" max="15" width="28.7109375" style="10" bestFit="1" customWidth="1"/>
    <col min="16" max="16" width="4.5703125" style="10" customWidth="1"/>
    <col min="17" max="17" width="6.140625" style="10" bestFit="1" customWidth="1"/>
    <col min="18" max="18" width="36.85546875" style="10" customWidth="1"/>
    <col min="19" max="19" width="15.5703125" style="15" customWidth="1"/>
    <col min="20" max="20" width="9.140625" style="15" customWidth="1"/>
    <col min="21" max="23" width="9.140625" style="15"/>
    <col min="24" max="24" width="8.7109375" style="15" customWidth="1"/>
    <col min="25" max="25" width="8.7109375" style="13" customWidth="1"/>
    <col min="26" max="26" width="10.7109375" style="10" customWidth="1"/>
    <col min="27" max="30" width="9.140625" style="10"/>
    <col min="31" max="32" width="8.7109375" style="10" customWidth="1"/>
    <col min="33" max="33" width="10.7109375" style="10" customWidth="1"/>
    <col min="34" max="34" width="9.140625" style="10"/>
    <col min="35" max="35" width="7.28515625" customWidth="1"/>
    <col min="36" max="37" width="9.140625" style="10"/>
    <col min="38" max="39" width="8.7109375" style="10" customWidth="1"/>
    <col min="40" max="40" width="10.7109375" style="10" customWidth="1"/>
    <col min="41" max="16384" width="9.140625" style="10"/>
  </cols>
  <sheetData>
    <row r="1" spans="1:40" ht="54.75" customHeight="1" x14ac:dyDescent="0.25">
      <c r="A1" s="124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9"/>
    </row>
    <row r="2" spans="1:40" ht="27.75" customHeight="1" x14ac:dyDescent="0.25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O2" s="23" t="s">
        <v>13</v>
      </c>
      <c r="P2" s="126" t="s">
        <v>146</v>
      </c>
      <c r="Q2" s="127"/>
      <c r="R2" s="128"/>
      <c r="S2" s="11"/>
      <c r="T2" s="28"/>
      <c r="U2" s="29"/>
      <c r="V2" s="28"/>
      <c r="W2" s="28"/>
      <c r="X2" s="29"/>
      <c r="Y2" s="30"/>
      <c r="Z2" s="29"/>
      <c r="AB2" s="11"/>
      <c r="AC2" s="28"/>
      <c r="AD2" s="28"/>
    </row>
    <row r="3" spans="1:40" ht="27.75" customHeight="1" x14ac:dyDescent="0.25">
      <c r="A3" s="8"/>
      <c r="B3" s="129" t="s">
        <v>14</v>
      </c>
      <c r="C3" s="130"/>
      <c r="D3" s="130"/>
      <c r="E3" s="130"/>
      <c r="F3" s="130"/>
      <c r="G3" s="130"/>
      <c r="H3" s="131"/>
      <c r="I3" s="132" t="s">
        <v>143</v>
      </c>
      <c r="J3" s="132"/>
      <c r="K3" s="132"/>
      <c r="L3" s="132"/>
      <c r="M3" s="132"/>
      <c r="N3" s="132"/>
      <c r="O3" s="133"/>
      <c r="P3" s="134" t="s">
        <v>17</v>
      </c>
      <c r="Q3" s="132"/>
      <c r="R3" s="133"/>
      <c r="T3" s="27"/>
      <c r="U3" s="27"/>
      <c r="V3" s="8"/>
      <c r="W3" s="8"/>
      <c r="X3" s="8"/>
      <c r="Y3" s="8"/>
      <c r="Z3" s="8"/>
      <c r="AB3" s="11"/>
      <c r="AC3" s="8"/>
      <c r="AD3" s="8"/>
    </row>
    <row r="4" spans="1:40" ht="33" customHeight="1" x14ac:dyDescent="0.25">
      <c r="A4" s="16"/>
      <c r="B4" s="129" t="s">
        <v>12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1"/>
      <c r="N4" s="12"/>
      <c r="S4" s="14"/>
      <c r="T4" s="48"/>
      <c r="U4" s="135" t="s">
        <v>25</v>
      </c>
      <c r="V4" s="136"/>
      <c r="W4" s="136"/>
      <c r="X4" s="136"/>
      <c r="Y4" s="136"/>
      <c r="Z4" s="72" t="s">
        <v>92</v>
      </c>
      <c r="AB4" s="137" t="s">
        <v>91</v>
      </c>
      <c r="AC4" s="138"/>
      <c r="AD4" s="138"/>
      <c r="AE4" s="138"/>
      <c r="AF4" s="138"/>
      <c r="AG4" s="72" t="s">
        <v>140</v>
      </c>
      <c r="AI4" s="137" t="s">
        <v>27</v>
      </c>
      <c r="AJ4" s="138"/>
      <c r="AK4" s="138"/>
      <c r="AL4" s="138"/>
      <c r="AM4" s="138"/>
      <c r="AN4" s="72" t="s">
        <v>142</v>
      </c>
    </row>
    <row r="5" spans="1:40" ht="12" customHeight="1" x14ac:dyDescent="0.25">
      <c r="A5" s="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8"/>
    </row>
    <row r="6" spans="1:40" ht="38.450000000000003" customHeight="1" x14ac:dyDescent="0.25">
      <c r="A6" s="33"/>
      <c r="B6" s="122" t="s">
        <v>22</v>
      </c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26" t="s">
        <v>15</v>
      </c>
      <c r="V6" s="26" t="s">
        <v>16</v>
      </c>
      <c r="W6" s="26" t="s">
        <v>24</v>
      </c>
      <c r="X6" s="5" t="s">
        <v>87</v>
      </c>
      <c r="Y6" s="5" t="s">
        <v>0</v>
      </c>
      <c r="Z6" s="5" t="s">
        <v>145</v>
      </c>
      <c r="AB6" s="26" t="s">
        <v>15</v>
      </c>
      <c r="AC6" s="26" t="s">
        <v>16</v>
      </c>
      <c r="AD6" s="26" t="s">
        <v>24</v>
      </c>
      <c r="AE6" s="5" t="s">
        <v>87</v>
      </c>
      <c r="AF6" s="5" t="s">
        <v>0</v>
      </c>
      <c r="AG6" s="5" t="s">
        <v>145</v>
      </c>
      <c r="AI6" s="26" t="s">
        <v>15</v>
      </c>
      <c r="AJ6" s="26" t="s">
        <v>16</v>
      </c>
      <c r="AK6" s="26" t="s">
        <v>24</v>
      </c>
      <c r="AL6" s="5" t="s">
        <v>87</v>
      </c>
      <c r="AM6" s="5" t="s">
        <v>0</v>
      </c>
      <c r="AN6" s="5" t="s">
        <v>145</v>
      </c>
    </row>
    <row r="7" spans="1:40" ht="33.75" customHeight="1" x14ac:dyDescent="0.25">
      <c r="A7" s="32" t="s">
        <v>1</v>
      </c>
      <c r="B7" s="91" t="s">
        <v>77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>
        <f>AVERAGE(U8:U14,V9,V14:V16)</f>
        <v>2</v>
      </c>
      <c r="V7" s="91"/>
      <c r="W7" s="91"/>
      <c r="X7" s="78"/>
      <c r="Y7" s="49">
        <v>3</v>
      </c>
      <c r="Z7" s="54">
        <f>U7*Y7</f>
        <v>6</v>
      </c>
      <c r="AB7" s="91"/>
      <c r="AC7" s="91"/>
      <c r="AD7" s="91"/>
      <c r="AE7" s="78"/>
      <c r="AF7" s="49">
        <v>3</v>
      </c>
      <c r="AG7" s="41">
        <f>AB7*AF7</f>
        <v>0</v>
      </c>
      <c r="AI7" s="91"/>
      <c r="AJ7" s="91"/>
      <c r="AK7" s="91"/>
      <c r="AL7" s="78"/>
      <c r="AM7" s="49">
        <v>3</v>
      </c>
      <c r="AN7" s="41">
        <f>AI7*AM7</f>
        <v>0</v>
      </c>
    </row>
    <row r="8" spans="1:40" ht="33.75" customHeight="1" outlineLevel="1" x14ac:dyDescent="0.25">
      <c r="A8" s="25" t="s">
        <v>21</v>
      </c>
      <c r="B8" s="113" t="s">
        <v>30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24">
        <v>2</v>
      </c>
      <c r="V8" s="39"/>
      <c r="W8" s="39"/>
      <c r="X8" s="24">
        <f>+MAX(U8:W8)</f>
        <v>2</v>
      </c>
      <c r="Y8" s="100"/>
      <c r="Z8" s="101"/>
      <c r="AB8" s="24">
        <v>1</v>
      </c>
      <c r="AC8" s="24">
        <v>3</v>
      </c>
      <c r="AD8" s="24">
        <v>4</v>
      </c>
      <c r="AE8" s="42"/>
      <c r="AF8" s="100"/>
      <c r="AG8" s="101"/>
      <c r="AI8" s="24"/>
      <c r="AJ8" s="24"/>
      <c r="AK8" s="24"/>
      <c r="AL8" s="42"/>
      <c r="AM8" s="100"/>
      <c r="AN8" s="101"/>
    </row>
    <row r="9" spans="1:40" ht="33.75" customHeight="1" outlineLevel="1" x14ac:dyDescent="0.25">
      <c r="A9" s="25" t="s">
        <v>20</v>
      </c>
      <c r="B9" s="113" t="s">
        <v>55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24"/>
      <c r="V9" s="24"/>
      <c r="W9" s="39"/>
      <c r="X9" s="24">
        <f t="shared" ref="X9:X27" si="0">+MAX(U9:W9)</f>
        <v>0</v>
      </c>
      <c r="Y9" s="102"/>
      <c r="Z9" s="103"/>
      <c r="AB9" s="24"/>
      <c r="AC9" s="24"/>
      <c r="AD9" s="24"/>
      <c r="AE9" s="42"/>
      <c r="AF9" s="102"/>
      <c r="AG9" s="103"/>
      <c r="AI9" s="24"/>
      <c r="AJ9" s="24"/>
      <c r="AK9" s="24"/>
      <c r="AL9" s="42"/>
      <c r="AM9" s="102"/>
      <c r="AN9" s="103"/>
    </row>
    <row r="10" spans="1:40" ht="33.75" customHeight="1" outlineLevel="1" x14ac:dyDescent="0.25">
      <c r="A10" s="25" t="s">
        <v>19</v>
      </c>
      <c r="B10" s="113" t="s">
        <v>56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24"/>
      <c r="V10" s="39"/>
      <c r="W10" s="39"/>
      <c r="X10" s="24">
        <f t="shared" si="0"/>
        <v>0</v>
      </c>
      <c r="Y10" s="102"/>
      <c r="Z10" s="103"/>
      <c r="AB10" s="24"/>
      <c r="AC10" s="24"/>
      <c r="AD10" s="24"/>
      <c r="AE10" s="42"/>
      <c r="AF10" s="102"/>
      <c r="AG10" s="103"/>
      <c r="AI10" s="24"/>
      <c r="AJ10" s="24"/>
      <c r="AK10" s="24"/>
      <c r="AL10" s="42"/>
      <c r="AM10" s="102"/>
      <c r="AN10" s="103"/>
    </row>
    <row r="11" spans="1:40" ht="33.75" customHeight="1" outlineLevel="1" x14ac:dyDescent="0.25">
      <c r="A11" s="25" t="s">
        <v>18</v>
      </c>
      <c r="B11" s="110" t="s">
        <v>85</v>
      </c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2"/>
      <c r="U11" s="24"/>
      <c r="V11" s="39"/>
      <c r="W11" s="39"/>
      <c r="X11" s="24">
        <f t="shared" si="0"/>
        <v>0</v>
      </c>
      <c r="Y11" s="102"/>
      <c r="Z11" s="103"/>
      <c r="AB11" s="24"/>
      <c r="AC11" s="24"/>
      <c r="AD11" s="24"/>
      <c r="AE11" s="42"/>
      <c r="AF11" s="102"/>
      <c r="AG11" s="103"/>
      <c r="AI11" s="24"/>
      <c r="AJ11" s="24"/>
      <c r="AK11" s="24"/>
      <c r="AL11" s="42"/>
      <c r="AM11" s="102"/>
      <c r="AN11" s="103"/>
    </row>
    <row r="12" spans="1:40" ht="33.75" customHeight="1" outlineLevel="1" x14ac:dyDescent="0.25">
      <c r="A12" s="25" t="s">
        <v>23</v>
      </c>
      <c r="B12" s="113" t="s">
        <v>32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24"/>
      <c r="V12" s="39"/>
      <c r="W12" s="39"/>
      <c r="X12" s="24">
        <f t="shared" si="0"/>
        <v>0</v>
      </c>
      <c r="Y12" s="102"/>
      <c r="Z12" s="103"/>
      <c r="AB12" s="24"/>
      <c r="AC12" s="24"/>
      <c r="AD12" s="24"/>
      <c r="AE12" s="42"/>
      <c r="AF12" s="102"/>
      <c r="AG12" s="103"/>
      <c r="AI12" s="24"/>
      <c r="AJ12" s="24"/>
      <c r="AK12" s="24"/>
      <c r="AL12" s="42"/>
      <c r="AM12" s="102"/>
      <c r="AN12" s="103"/>
    </row>
    <row r="13" spans="1:40" ht="33.75" customHeight="1" outlineLevel="1" x14ac:dyDescent="0.25">
      <c r="A13" s="25" t="s">
        <v>60</v>
      </c>
      <c r="B13" s="110" t="s">
        <v>33</v>
      </c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2"/>
      <c r="U13" s="24"/>
      <c r="V13" s="39"/>
      <c r="W13" s="39"/>
      <c r="X13" s="24">
        <f t="shared" si="0"/>
        <v>0</v>
      </c>
      <c r="Y13" s="102"/>
      <c r="Z13" s="103"/>
      <c r="AB13" s="24"/>
      <c r="AC13" s="24"/>
      <c r="AD13" s="24"/>
      <c r="AE13" s="42"/>
      <c r="AF13" s="102"/>
      <c r="AG13" s="103"/>
      <c r="AI13" s="24"/>
      <c r="AJ13" s="24"/>
      <c r="AK13" s="24"/>
      <c r="AL13" s="42"/>
      <c r="AM13" s="102"/>
      <c r="AN13" s="103"/>
    </row>
    <row r="14" spans="1:40" ht="33.75" customHeight="1" outlineLevel="1" x14ac:dyDescent="0.25">
      <c r="A14" s="25" t="s">
        <v>61</v>
      </c>
      <c r="B14" s="113" t="s">
        <v>64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24"/>
      <c r="V14" s="24"/>
      <c r="W14" s="39"/>
      <c r="X14" s="24">
        <f t="shared" si="0"/>
        <v>0</v>
      </c>
      <c r="Y14" s="102"/>
      <c r="Z14" s="103"/>
      <c r="AB14" s="24"/>
      <c r="AC14" s="24"/>
      <c r="AD14" s="24"/>
      <c r="AE14" s="42"/>
      <c r="AF14" s="102"/>
      <c r="AG14" s="103"/>
      <c r="AI14" s="24"/>
      <c r="AJ14" s="24"/>
      <c r="AK14" s="24"/>
      <c r="AL14" s="42"/>
      <c r="AM14" s="102"/>
      <c r="AN14" s="103"/>
    </row>
    <row r="15" spans="1:40" ht="33.75" customHeight="1" outlineLevel="1" x14ac:dyDescent="0.25">
      <c r="A15" s="25" t="s">
        <v>62</v>
      </c>
      <c r="B15" s="113" t="s">
        <v>31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39"/>
      <c r="V15" s="24"/>
      <c r="W15" s="39"/>
      <c r="X15" s="24">
        <f t="shared" si="0"/>
        <v>0</v>
      </c>
      <c r="Y15" s="102"/>
      <c r="Z15" s="103"/>
      <c r="AB15" s="24"/>
      <c r="AC15" s="24"/>
      <c r="AD15" s="24"/>
      <c r="AE15" s="42"/>
      <c r="AF15" s="102"/>
      <c r="AG15" s="103"/>
      <c r="AI15" s="24"/>
      <c r="AJ15" s="24"/>
      <c r="AK15" s="24"/>
      <c r="AL15" s="42"/>
      <c r="AM15" s="102"/>
      <c r="AN15" s="103"/>
    </row>
    <row r="16" spans="1:40" ht="33.75" customHeight="1" outlineLevel="1" x14ac:dyDescent="0.25">
      <c r="A16" s="25" t="s">
        <v>63</v>
      </c>
      <c r="B16" s="110" t="s">
        <v>53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2"/>
      <c r="U16" s="39"/>
      <c r="V16" s="24"/>
      <c r="W16" s="39"/>
      <c r="X16" s="24">
        <f t="shared" si="0"/>
        <v>0</v>
      </c>
      <c r="Y16" s="102"/>
      <c r="Z16" s="103"/>
      <c r="AB16" s="24"/>
      <c r="AC16" s="24"/>
      <c r="AD16" s="24"/>
      <c r="AE16" s="42"/>
      <c r="AF16" s="102"/>
      <c r="AG16" s="103"/>
      <c r="AI16" s="24"/>
      <c r="AJ16" s="24"/>
      <c r="AK16" s="24"/>
      <c r="AL16" s="42"/>
      <c r="AM16" s="102"/>
      <c r="AN16" s="103"/>
    </row>
    <row r="17" spans="1:40" ht="33.6" customHeight="1" x14ac:dyDescent="0.25">
      <c r="A17" s="32" t="s">
        <v>2</v>
      </c>
      <c r="B17" s="91" t="s">
        <v>78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>
        <f>AVERAGE(U18:U20)</f>
        <v>2</v>
      </c>
      <c r="V17" s="91"/>
      <c r="W17" s="91"/>
      <c r="X17" s="78"/>
      <c r="Y17" s="49">
        <v>3</v>
      </c>
      <c r="Z17" s="54">
        <f>U17*Y17</f>
        <v>6</v>
      </c>
      <c r="AB17" s="91"/>
      <c r="AC17" s="91"/>
      <c r="AD17" s="91"/>
      <c r="AE17" s="78"/>
      <c r="AF17" s="49">
        <v>3</v>
      </c>
      <c r="AG17" s="41">
        <f>AB17*AF17</f>
        <v>0</v>
      </c>
      <c r="AI17" s="91"/>
      <c r="AJ17" s="91"/>
      <c r="AK17" s="91"/>
      <c r="AL17" s="78"/>
      <c r="AM17" s="45">
        <v>5</v>
      </c>
      <c r="AN17" s="54">
        <f>AI17*AM17</f>
        <v>0</v>
      </c>
    </row>
    <row r="18" spans="1:40" ht="33.6" customHeight="1" x14ac:dyDescent="0.25">
      <c r="A18" s="25" t="s">
        <v>21</v>
      </c>
      <c r="B18" s="113" t="s">
        <v>35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24">
        <v>2</v>
      </c>
      <c r="V18" s="39"/>
      <c r="W18" s="39"/>
      <c r="X18" s="24">
        <f t="shared" si="0"/>
        <v>2</v>
      </c>
      <c r="Y18" s="100"/>
      <c r="Z18" s="101"/>
      <c r="AB18" s="24"/>
      <c r="AC18" s="24"/>
      <c r="AD18" s="24"/>
      <c r="AE18" s="42"/>
      <c r="AF18" s="100"/>
      <c r="AG18" s="101"/>
      <c r="AI18" s="24"/>
      <c r="AJ18" s="24"/>
      <c r="AK18" s="24"/>
      <c r="AL18" s="42"/>
      <c r="AM18" s="100"/>
      <c r="AN18" s="101"/>
    </row>
    <row r="19" spans="1:40" ht="34.9" customHeight="1" x14ac:dyDescent="0.25">
      <c r="A19" s="25" t="s">
        <v>20</v>
      </c>
      <c r="B19" s="113" t="s">
        <v>36</v>
      </c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24"/>
      <c r="V19" s="39"/>
      <c r="W19" s="39"/>
      <c r="X19" s="24">
        <f t="shared" si="0"/>
        <v>0</v>
      </c>
      <c r="Y19" s="102"/>
      <c r="Z19" s="103"/>
      <c r="AB19" s="24"/>
      <c r="AC19" s="24"/>
      <c r="AD19" s="24"/>
      <c r="AE19" s="42"/>
      <c r="AF19" s="102"/>
      <c r="AG19" s="103"/>
      <c r="AI19" s="24"/>
      <c r="AJ19" s="24"/>
      <c r="AK19" s="24"/>
      <c r="AL19" s="42"/>
      <c r="AM19" s="102"/>
      <c r="AN19" s="103"/>
    </row>
    <row r="20" spans="1:40" ht="33.6" customHeight="1" x14ac:dyDescent="0.25">
      <c r="A20" s="25" t="s">
        <v>19</v>
      </c>
      <c r="B20" s="113" t="s">
        <v>28</v>
      </c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24"/>
      <c r="V20" s="39"/>
      <c r="W20" s="39"/>
      <c r="X20" s="24">
        <f t="shared" si="0"/>
        <v>0</v>
      </c>
      <c r="Y20" s="102"/>
      <c r="Z20" s="103"/>
      <c r="AB20" s="24"/>
      <c r="AC20" s="24"/>
      <c r="AD20" s="24"/>
      <c r="AE20" s="42"/>
      <c r="AF20" s="102"/>
      <c r="AG20" s="103"/>
      <c r="AI20" s="24"/>
      <c r="AJ20" s="24"/>
      <c r="AK20" s="24"/>
      <c r="AL20" s="42"/>
      <c r="AM20" s="102"/>
      <c r="AN20" s="103"/>
    </row>
    <row r="21" spans="1:40" ht="33.75" customHeight="1" x14ac:dyDescent="0.25">
      <c r="A21" s="32" t="s">
        <v>3</v>
      </c>
      <c r="B21" s="91" t="s">
        <v>86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>
        <f>AVERAGE(V27,U22:U27)</f>
        <v>2</v>
      </c>
      <c r="V21" s="91"/>
      <c r="W21" s="91"/>
      <c r="X21" s="78"/>
      <c r="Y21" s="49">
        <v>3</v>
      </c>
      <c r="Z21" s="54">
        <f>U21*Y21</f>
        <v>6</v>
      </c>
      <c r="AB21" s="91"/>
      <c r="AC21" s="91"/>
      <c r="AD21" s="91"/>
      <c r="AE21" s="78"/>
      <c r="AF21" s="49">
        <v>3</v>
      </c>
      <c r="AG21" s="41">
        <f>AB21*AF21</f>
        <v>0</v>
      </c>
      <c r="AI21" s="91"/>
      <c r="AJ21" s="91"/>
      <c r="AK21" s="91"/>
      <c r="AL21" s="78"/>
      <c r="AM21" s="49">
        <v>3</v>
      </c>
      <c r="AN21" s="54">
        <f>AI21*AM21</f>
        <v>0</v>
      </c>
    </row>
    <row r="22" spans="1:40" ht="33.75" customHeight="1" x14ac:dyDescent="0.25">
      <c r="A22" s="25" t="s">
        <v>21</v>
      </c>
      <c r="B22" s="113" t="s">
        <v>57</v>
      </c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43">
        <v>2</v>
      </c>
      <c r="V22" s="39"/>
      <c r="W22" s="39"/>
      <c r="X22" s="24">
        <f t="shared" si="0"/>
        <v>2</v>
      </c>
      <c r="Y22" s="85"/>
      <c r="Z22" s="86"/>
      <c r="AB22" s="24"/>
      <c r="AC22" s="24"/>
      <c r="AD22" s="24"/>
      <c r="AE22" s="24"/>
      <c r="AF22" s="85"/>
      <c r="AG22" s="86"/>
      <c r="AI22" s="43"/>
      <c r="AJ22" s="44"/>
      <c r="AK22" s="44"/>
      <c r="AL22" s="56"/>
      <c r="AM22" s="85"/>
      <c r="AN22" s="86"/>
    </row>
    <row r="23" spans="1:40" ht="33.75" customHeight="1" x14ac:dyDescent="0.25">
      <c r="A23" s="25" t="s">
        <v>20</v>
      </c>
      <c r="B23" s="113" t="s">
        <v>37</v>
      </c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43"/>
      <c r="V23" s="39"/>
      <c r="W23" s="39"/>
      <c r="X23" s="24">
        <f t="shared" si="0"/>
        <v>0</v>
      </c>
      <c r="Y23" s="87"/>
      <c r="Z23" s="88"/>
      <c r="AB23" s="24"/>
      <c r="AC23" s="24"/>
      <c r="AD23" s="24"/>
      <c r="AE23" s="42"/>
      <c r="AF23" s="87"/>
      <c r="AG23" s="88"/>
      <c r="AI23" s="24"/>
      <c r="AJ23" s="24"/>
      <c r="AK23" s="24"/>
      <c r="AL23" s="42"/>
      <c r="AM23" s="87"/>
      <c r="AN23" s="88"/>
    </row>
    <row r="24" spans="1:40" ht="33.75" customHeight="1" x14ac:dyDescent="0.25">
      <c r="A24" s="25" t="s">
        <v>19</v>
      </c>
      <c r="B24" s="113" t="s">
        <v>38</v>
      </c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43"/>
      <c r="V24" s="39"/>
      <c r="W24" s="39"/>
      <c r="X24" s="24">
        <f t="shared" si="0"/>
        <v>0</v>
      </c>
      <c r="Y24" s="87"/>
      <c r="Z24" s="88"/>
      <c r="AB24" s="24"/>
      <c r="AC24" s="24"/>
      <c r="AD24" s="24"/>
      <c r="AE24" s="42"/>
      <c r="AF24" s="87"/>
      <c r="AG24" s="88"/>
      <c r="AI24" s="24"/>
      <c r="AJ24" s="24"/>
      <c r="AK24" s="24"/>
      <c r="AL24" s="42"/>
      <c r="AM24" s="87"/>
      <c r="AN24" s="88"/>
    </row>
    <row r="25" spans="1:40" ht="33.75" customHeight="1" x14ac:dyDescent="0.25">
      <c r="A25" s="25" t="s">
        <v>18</v>
      </c>
      <c r="B25" s="113" t="s">
        <v>66</v>
      </c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43"/>
      <c r="V25" s="39"/>
      <c r="W25" s="39"/>
      <c r="X25" s="24">
        <f t="shared" si="0"/>
        <v>0</v>
      </c>
      <c r="Y25" s="87"/>
      <c r="Z25" s="88"/>
      <c r="AB25" s="24"/>
      <c r="AC25" s="24"/>
      <c r="AD25" s="24"/>
      <c r="AE25" s="42"/>
      <c r="AF25" s="87"/>
      <c r="AG25" s="88"/>
      <c r="AI25" s="24"/>
      <c r="AJ25" s="24"/>
      <c r="AK25" s="24"/>
      <c r="AL25" s="42"/>
      <c r="AM25" s="87"/>
      <c r="AN25" s="88"/>
    </row>
    <row r="26" spans="1:40" ht="33.75" customHeight="1" x14ac:dyDescent="0.25">
      <c r="A26" s="25" t="s">
        <v>23</v>
      </c>
      <c r="B26" s="113" t="s">
        <v>34</v>
      </c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43"/>
      <c r="V26" s="39"/>
      <c r="W26" s="39"/>
      <c r="X26" s="24">
        <f t="shared" si="0"/>
        <v>0</v>
      </c>
      <c r="Y26" s="87"/>
      <c r="Z26" s="88"/>
      <c r="AB26" s="24"/>
      <c r="AC26" s="24"/>
      <c r="AD26" s="24"/>
      <c r="AE26" s="42"/>
      <c r="AF26" s="87"/>
      <c r="AG26" s="88"/>
      <c r="AI26" s="24"/>
      <c r="AJ26" s="24"/>
      <c r="AK26" s="24"/>
      <c r="AL26" s="42"/>
      <c r="AM26" s="87"/>
      <c r="AN26" s="88"/>
    </row>
    <row r="27" spans="1:40" ht="33.75" customHeight="1" x14ac:dyDescent="0.25">
      <c r="A27" s="25" t="s">
        <v>60</v>
      </c>
      <c r="B27" s="120" t="s">
        <v>65</v>
      </c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43"/>
      <c r="V27" s="43"/>
      <c r="W27" s="39"/>
      <c r="X27" s="24">
        <f t="shared" si="0"/>
        <v>0</v>
      </c>
      <c r="Y27" s="89"/>
      <c r="Z27" s="90"/>
      <c r="AB27" s="24"/>
      <c r="AC27" s="24"/>
      <c r="AD27" s="24"/>
      <c r="AE27" s="42"/>
      <c r="AF27" s="89"/>
      <c r="AG27" s="90"/>
      <c r="AI27" s="24"/>
      <c r="AJ27" s="24"/>
      <c r="AK27" s="24"/>
      <c r="AL27" s="42"/>
      <c r="AM27" s="89"/>
      <c r="AN27" s="90"/>
    </row>
    <row r="28" spans="1:40" ht="33.75" customHeight="1" x14ac:dyDescent="0.25">
      <c r="A28" s="32" t="s">
        <v>4</v>
      </c>
      <c r="B28" s="91" t="s">
        <v>79</v>
      </c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>
        <f>AVERAGE(U29:U33,W33)</f>
        <v>2</v>
      </c>
      <c r="V28" s="91"/>
      <c r="W28" s="91"/>
      <c r="X28" s="78"/>
      <c r="Y28" s="49">
        <v>2</v>
      </c>
      <c r="Z28" s="54">
        <f>U28*Y28</f>
        <v>4</v>
      </c>
      <c r="AB28" s="91"/>
      <c r="AC28" s="91"/>
      <c r="AD28" s="91"/>
      <c r="AE28" s="78"/>
      <c r="AF28" s="49">
        <v>2</v>
      </c>
      <c r="AG28" s="41">
        <f>AB28*AF28</f>
        <v>0</v>
      </c>
      <c r="AI28" s="91"/>
      <c r="AJ28" s="91"/>
      <c r="AK28" s="91"/>
      <c r="AL28" s="78"/>
      <c r="AM28" s="49">
        <v>3</v>
      </c>
      <c r="AN28" s="54">
        <f>AI28*AM28</f>
        <v>0</v>
      </c>
    </row>
    <row r="29" spans="1:40" ht="33.75" customHeight="1" x14ac:dyDescent="0.25">
      <c r="A29" s="25" t="s">
        <v>21</v>
      </c>
      <c r="B29" s="113" t="s">
        <v>48</v>
      </c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24">
        <v>2</v>
      </c>
      <c r="V29" s="39"/>
      <c r="W29" s="39"/>
      <c r="X29" s="24">
        <f t="shared" ref="X29:X33" si="1">+MAX(U29:W29)</f>
        <v>2</v>
      </c>
      <c r="Y29" s="85"/>
      <c r="Z29" s="86"/>
      <c r="AB29" s="24"/>
      <c r="AC29" s="24"/>
      <c r="AD29" s="24"/>
      <c r="AE29" s="42"/>
      <c r="AF29" s="85"/>
      <c r="AG29" s="86"/>
      <c r="AI29" s="24"/>
      <c r="AJ29" s="24"/>
      <c r="AK29" s="24"/>
      <c r="AL29" s="42"/>
      <c r="AM29" s="85"/>
      <c r="AN29" s="86"/>
    </row>
    <row r="30" spans="1:40" ht="33.75" customHeight="1" x14ac:dyDescent="0.25">
      <c r="A30" s="25" t="s">
        <v>20</v>
      </c>
      <c r="B30" s="113" t="s">
        <v>58</v>
      </c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24"/>
      <c r="V30" s="39"/>
      <c r="W30" s="39"/>
      <c r="X30" s="24">
        <f t="shared" si="1"/>
        <v>0</v>
      </c>
      <c r="Y30" s="87"/>
      <c r="Z30" s="88"/>
      <c r="AB30" s="24"/>
      <c r="AC30" s="24"/>
      <c r="AD30" s="24"/>
      <c r="AE30" s="42"/>
      <c r="AF30" s="87"/>
      <c r="AG30" s="88"/>
      <c r="AI30" s="24"/>
      <c r="AJ30" s="24"/>
      <c r="AK30" s="24"/>
      <c r="AL30" s="42"/>
      <c r="AM30" s="87"/>
      <c r="AN30" s="88"/>
    </row>
    <row r="31" spans="1:40" ht="33.75" customHeight="1" x14ac:dyDescent="0.25">
      <c r="A31" s="25" t="s">
        <v>19</v>
      </c>
      <c r="B31" s="113" t="s">
        <v>73</v>
      </c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24"/>
      <c r="V31" s="39"/>
      <c r="W31" s="39"/>
      <c r="X31" s="24">
        <f t="shared" si="1"/>
        <v>0</v>
      </c>
      <c r="Y31" s="87"/>
      <c r="Z31" s="88"/>
      <c r="AB31" s="24"/>
      <c r="AC31" s="24"/>
      <c r="AD31" s="24"/>
      <c r="AE31" s="42"/>
      <c r="AF31" s="87"/>
      <c r="AG31" s="88"/>
      <c r="AI31" s="24"/>
      <c r="AJ31" s="24"/>
      <c r="AK31" s="24"/>
      <c r="AL31" s="42"/>
      <c r="AM31" s="87"/>
      <c r="AN31" s="88"/>
    </row>
    <row r="32" spans="1:40" ht="33.75" customHeight="1" x14ac:dyDescent="0.25">
      <c r="A32" s="25" t="s">
        <v>18</v>
      </c>
      <c r="B32" s="110" t="s">
        <v>74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2"/>
      <c r="U32" s="24"/>
      <c r="V32" s="39"/>
      <c r="W32" s="39"/>
      <c r="X32" s="24">
        <f t="shared" si="1"/>
        <v>0</v>
      </c>
      <c r="Y32" s="87"/>
      <c r="Z32" s="88"/>
      <c r="AB32" s="24"/>
      <c r="AC32" s="24"/>
      <c r="AD32" s="24"/>
      <c r="AE32" s="42"/>
      <c r="AF32" s="87"/>
      <c r="AG32" s="88"/>
      <c r="AI32" s="24"/>
      <c r="AJ32" s="24"/>
      <c r="AK32" s="24"/>
      <c r="AL32" s="42"/>
      <c r="AM32" s="87"/>
      <c r="AN32" s="88"/>
    </row>
    <row r="33" spans="1:40" ht="33.75" customHeight="1" x14ac:dyDescent="0.25">
      <c r="A33" s="25" t="s">
        <v>23</v>
      </c>
      <c r="B33" s="110" t="s">
        <v>29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2"/>
      <c r="U33" s="24"/>
      <c r="V33" s="39"/>
      <c r="W33" s="24"/>
      <c r="X33" s="24">
        <f t="shared" si="1"/>
        <v>0</v>
      </c>
      <c r="Y33" s="87"/>
      <c r="Z33" s="88"/>
      <c r="AB33" s="24"/>
      <c r="AC33" s="24"/>
      <c r="AD33" s="24"/>
      <c r="AE33" s="42"/>
      <c r="AF33" s="87"/>
      <c r="AG33" s="88"/>
      <c r="AI33" s="24"/>
      <c r="AJ33" s="24"/>
      <c r="AK33" s="24"/>
      <c r="AL33" s="42"/>
      <c r="AM33" s="87"/>
      <c r="AN33" s="88"/>
    </row>
    <row r="34" spans="1:40" ht="33.75" customHeight="1" x14ac:dyDescent="0.25">
      <c r="A34" s="32" t="s">
        <v>5</v>
      </c>
      <c r="B34" s="91" t="s">
        <v>80</v>
      </c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>
        <f>AVERAGE(W36:W38,U35)</f>
        <v>2</v>
      </c>
      <c r="V34" s="91"/>
      <c r="W34" s="91"/>
      <c r="X34" s="78"/>
      <c r="Y34" s="49">
        <v>2</v>
      </c>
      <c r="Z34" s="54">
        <f>U34*Y34</f>
        <v>4</v>
      </c>
      <c r="AB34" s="91"/>
      <c r="AC34" s="91"/>
      <c r="AD34" s="91"/>
      <c r="AE34" s="78"/>
      <c r="AF34" s="49">
        <v>2</v>
      </c>
      <c r="AG34" s="41">
        <f>AB34*AF34</f>
        <v>0</v>
      </c>
      <c r="AI34" s="91"/>
      <c r="AJ34" s="91"/>
      <c r="AK34" s="91"/>
      <c r="AL34" s="78"/>
      <c r="AM34" s="49">
        <v>3</v>
      </c>
      <c r="AN34" s="54">
        <f>AI34*AM34</f>
        <v>0</v>
      </c>
    </row>
    <row r="35" spans="1:40" ht="33.75" customHeight="1" x14ac:dyDescent="0.25">
      <c r="A35" s="25" t="s">
        <v>21</v>
      </c>
      <c r="B35" s="114" t="s">
        <v>54</v>
      </c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6"/>
      <c r="U35" s="24">
        <v>2</v>
      </c>
      <c r="V35" s="39"/>
      <c r="W35" s="39"/>
      <c r="X35" s="24">
        <f t="shared" ref="X35:X38" si="2">+MAX(U35:W35)</f>
        <v>2</v>
      </c>
      <c r="Y35" s="85"/>
      <c r="Z35" s="86"/>
      <c r="AB35" s="24"/>
      <c r="AC35" s="24"/>
      <c r="AD35" s="24"/>
      <c r="AE35" s="42"/>
      <c r="AF35" s="85"/>
      <c r="AG35" s="86"/>
      <c r="AI35" s="24"/>
      <c r="AJ35" s="24"/>
      <c r="AK35" s="24"/>
      <c r="AL35" s="42"/>
      <c r="AM35" s="85"/>
      <c r="AN35" s="86"/>
    </row>
    <row r="36" spans="1:40" ht="33.75" customHeight="1" x14ac:dyDescent="0.25">
      <c r="A36" s="25" t="s">
        <v>20</v>
      </c>
      <c r="B36" s="114" t="s">
        <v>50</v>
      </c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6"/>
      <c r="U36" s="39"/>
      <c r="V36" s="39"/>
      <c r="W36" s="24"/>
      <c r="X36" s="24">
        <f t="shared" si="2"/>
        <v>0</v>
      </c>
      <c r="Y36" s="87"/>
      <c r="Z36" s="88"/>
      <c r="AB36" s="24"/>
      <c r="AC36" s="24"/>
      <c r="AD36" s="24"/>
      <c r="AE36" s="42"/>
      <c r="AF36" s="87"/>
      <c r="AG36" s="88"/>
      <c r="AI36" s="24"/>
      <c r="AJ36" s="24"/>
      <c r="AK36" s="24"/>
      <c r="AL36" s="42"/>
      <c r="AM36" s="87"/>
      <c r="AN36" s="88"/>
    </row>
    <row r="37" spans="1:40" ht="33.75" customHeight="1" x14ac:dyDescent="0.25">
      <c r="A37" s="25" t="s">
        <v>19</v>
      </c>
      <c r="B37" s="113" t="s">
        <v>47</v>
      </c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39"/>
      <c r="V37" s="39"/>
      <c r="W37" s="24"/>
      <c r="X37" s="24">
        <f t="shared" si="2"/>
        <v>0</v>
      </c>
      <c r="Y37" s="87"/>
      <c r="Z37" s="88"/>
      <c r="AB37" s="24"/>
      <c r="AC37" s="24"/>
      <c r="AD37" s="24"/>
      <c r="AE37" s="42"/>
      <c r="AF37" s="87"/>
      <c r="AG37" s="88"/>
      <c r="AI37" s="24"/>
      <c r="AJ37" s="24"/>
      <c r="AK37" s="24"/>
      <c r="AL37" s="42"/>
      <c r="AM37" s="87"/>
      <c r="AN37" s="88"/>
    </row>
    <row r="38" spans="1:40" ht="33.75" customHeight="1" x14ac:dyDescent="0.25">
      <c r="A38" s="25" t="s">
        <v>18</v>
      </c>
      <c r="B38" s="113" t="s">
        <v>46</v>
      </c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39"/>
      <c r="V38" s="39"/>
      <c r="W38" s="24"/>
      <c r="X38" s="24">
        <f t="shared" si="2"/>
        <v>0</v>
      </c>
      <c r="Y38" s="89"/>
      <c r="Z38" s="90"/>
      <c r="AB38" s="24"/>
      <c r="AC38" s="24"/>
      <c r="AD38" s="24"/>
      <c r="AE38" s="42"/>
      <c r="AF38" s="89"/>
      <c r="AG38" s="90"/>
      <c r="AI38" s="24"/>
      <c r="AJ38" s="24"/>
      <c r="AK38" s="24"/>
      <c r="AL38" s="42"/>
      <c r="AM38" s="89"/>
      <c r="AN38" s="90"/>
    </row>
    <row r="39" spans="1:40" ht="33.75" customHeight="1" x14ac:dyDescent="0.25">
      <c r="A39" s="32" t="s">
        <v>6</v>
      </c>
      <c r="B39" s="91" t="s">
        <v>81</v>
      </c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>
        <f>AVERAGE(U40:U42,V40:V41,V43:V44)</f>
        <v>2</v>
      </c>
      <c r="V39" s="91"/>
      <c r="W39" s="91"/>
      <c r="X39" s="78"/>
      <c r="Y39" s="49">
        <v>2</v>
      </c>
      <c r="Z39" s="54">
        <f>U39*Y39</f>
        <v>4</v>
      </c>
      <c r="AB39" s="91"/>
      <c r="AC39" s="91"/>
      <c r="AD39" s="91"/>
      <c r="AE39" s="78"/>
      <c r="AF39" s="49">
        <v>2</v>
      </c>
      <c r="AG39" s="41">
        <f>AB39*AF39</f>
        <v>0</v>
      </c>
      <c r="AI39" s="91"/>
      <c r="AJ39" s="91"/>
      <c r="AK39" s="91"/>
      <c r="AL39" s="78"/>
      <c r="AM39" s="49">
        <v>3</v>
      </c>
      <c r="AN39" s="54">
        <f>AI39*AM39</f>
        <v>0</v>
      </c>
    </row>
    <row r="40" spans="1:40" ht="33.75" customHeight="1" x14ac:dyDescent="0.25">
      <c r="A40" s="25" t="s">
        <v>21</v>
      </c>
      <c r="B40" s="113" t="s">
        <v>67</v>
      </c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24">
        <v>2</v>
      </c>
      <c r="V40" s="24"/>
      <c r="W40" s="39"/>
      <c r="X40" s="24">
        <f t="shared" ref="X40:X44" si="3">+MAX(U40:W40)</f>
        <v>2</v>
      </c>
      <c r="Y40" s="85"/>
      <c r="Z40" s="86"/>
      <c r="AB40" s="24"/>
      <c r="AC40" s="24"/>
      <c r="AD40" s="24"/>
      <c r="AE40" s="42"/>
      <c r="AF40" s="85"/>
      <c r="AG40" s="86"/>
      <c r="AI40" s="24"/>
      <c r="AJ40" s="24"/>
      <c r="AK40" s="24"/>
      <c r="AL40" s="42"/>
      <c r="AM40" s="85"/>
      <c r="AN40" s="86"/>
    </row>
    <row r="41" spans="1:40" ht="33.75" customHeight="1" x14ac:dyDescent="0.25">
      <c r="A41" s="25" t="s">
        <v>20</v>
      </c>
      <c r="B41" s="113" t="s">
        <v>39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24"/>
      <c r="V41" s="24"/>
      <c r="W41" s="39"/>
      <c r="X41" s="24">
        <f t="shared" si="3"/>
        <v>0</v>
      </c>
      <c r="Y41" s="87"/>
      <c r="Z41" s="88"/>
      <c r="AB41" s="24"/>
      <c r="AC41" s="24"/>
      <c r="AD41" s="24"/>
      <c r="AE41" s="42"/>
      <c r="AF41" s="87"/>
      <c r="AG41" s="88"/>
      <c r="AI41" s="24"/>
      <c r="AJ41" s="24"/>
      <c r="AK41" s="24"/>
      <c r="AL41" s="42"/>
      <c r="AM41" s="87"/>
      <c r="AN41" s="88"/>
    </row>
    <row r="42" spans="1:40" ht="33.75" customHeight="1" x14ac:dyDescent="0.25">
      <c r="A42" s="25" t="s">
        <v>19</v>
      </c>
      <c r="B42" s="113" t="s">
        <v>40</v>
      </c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24"/>
      <c r="V42" s="39"/>
      <c r="W42" s="39"/>
      <c r="X42" s="24">
        <f t="shared" si="3"/>
        <v>0</v>
      </c>
      <c r="Y42" s="87"/>
      <c r="Z42" s="88"/>
      <c r="AB42" s="24"/>
      <c r="AC42" s="24"/>
      <c r="AD42" s="24"/>
      <c r="AE42" s="42"/>
      <c r="AF42" s="87"/>
      <c r="AG42" s="88"/>
      <c r="AI42" s="43"/>
      <c r="AJ42" s="44"/>
      <c r="AK42" s="44"/>
      <c r="AL42" s="34"/>
      <c r="AM42" s="87"/>
      <c r="AN42" s="88"/>
    </row>
    <row r="43" spans="1:40" ht="33.75" customHeight="1" x14ac:dyDescent="0.25">
      <c r="A43" s="25" t="s">
        <v>18</v>
      </c>
      <c r="B43" s="113" t="s">
        <v>44</v>
      </c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39"/>
      <c r="V43" s="24"/>
      <c r="W43" s="39"/>
      <c r="X43" s="24">
        <f t="shared" si="3"/>
        <v>0</v>
      </c>
      <c r="Y43" s="87"/>
      <c r="Z43" s="88"/>
      <c r="AB43" s="24"/>
      <c r="AC43" s="24"/>
      <c r="AD43" s="24"/>
      <c r="AE43" s="42"/>
      <c r="AF43" s="87"/>
      <c r="AG43" s="88"/>
      <c r="AI43" s="43"/>
      <c r="AJ43" s="44"/>
      <c r="AK43" s="44"/>
      <c r="AL43" s="34"/>
      <c r="AM43" s="87"/>
      <c r="AN43" s="88"/>
    </row>
    <row r="44" spans="1:40" ht="33.75" customHeight="1" x14ac:dyDescent="0.25">
      <c r="A44" s="25" t="s">
        <v>23</v>
      </c>
      <c r="B44" s="113" t="s">
        <v>43</v>
      </c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39"/>
      <c r="V44" s="24"/>
      <c r="W44" s="39"/>
      <c r="X44" s="24">
        <f t="shared" si="3"/>
        <v>0</v>
      </c>
      <c r="Y44" s="89"/>
      <c r="Z44" s="90"/>
      <c r="AB44" s="24"/>
      <c r="AC44" s="24"/>
      <c r="AD44" s="24"/>
      <c r="AE44" s="42"/>
      <c r="AF44" s="89"/>
      <c r="AG44" s="90"/>
      <c r="AI44" s="43"/>
      <c r="AJ44" s="44"/>
      <c r="AK44" s="44"/>
      <c r="AL44" s="34"/>
      <c r="AM44" s="89"/>
      <c r="AN44" s="90"/>
    </row>
    <row r="45" spans="1:40" ht="33.75" customHeight="1" x14ac:dyDescent="0.25">
      <c r="A45" s="32" t="s">
        <v>7</v>
      </c>
      <c r="B45" s="91" t="s">
        <v>82</v>
      </c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>
        <f>AVERAGE(U46:U48)</f>
        <v>2</v>
      </c>
      <c r="V45" s="91"/>
      <c r="W45" s="91"/>
      <c r="X45" s="78"/>
      <c r="Y45" s="49">
        <v>2</v>
      </c>
      <c r="Z45" s="54">
        <f>U45*Y45</f>
        <v>4</v>
      </c>
      <c r="AB45" s="91"/>
      <c r="AC45" s="91"/>
      <c r="AD45" s="91"/>
      <c r="AE45" s="78"/>
      <c r="AF45" s="49">
        <v>2</v>
      </c>
      <c r="AG45" s="41">
        <f>AB45*AF45</f>
        <v>0</v>
      </c>
      <c r="AI45" s="91"/>
      <c r="AJ45" s="91"/>
      <c r="AK45" s="91"/>
      <c r="AL45" s="78"/>
      <c r="AM45" s="49">
        <v>3</v>
      </c>
      <c r="AN45" s="54">
        <f>AI45*AM45</f>
        <v>0</v>
      </c>
    </row>
    <row r="46" spans="1:40" ht="33.75" customHeight="1" x14ac:dyDescent="0.25">
      <c r="A46" s="25" t="s">
        <v>21</v>
      </c>
      <c r="B46" s="113" t="s">
        <v>41</v>
      </c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24">
        <v>2</v>
      </c>
      <c r="V46" s="39"/>
      <c r="W46" s="39"/>
      <c r="X46" s="24">
        <f t="shared" ref="X46:X48" si="4">+MAX(U46:W46)</f>
        <v>2</v>
      </c>
      <c r="Y46" s="85"/>
      <c r="Z46" s="86"/>
      <c r="AB46" s="24"/>
      <c r="AC46" s="24"/>
      <c r="AD46" s="24"/>
      <c r="AE46" s="42"/>
      <c r="AF46" s="85"/>
      <c r="AG46" s="86"/>
      <c r="AI46" s="24"/>
      <c r="AJ46" s="24"/>
      <c r="AK46" s="24"/>
      <c r="AL46" s="42"/>
      <c r="AM46" s="85"/>
      <c r="AN46" s="86"/>
    </row>
    <row r="47" spans="1:40" ht="33.75" customHeight="1" x14ac:dyDescent="0.25">
      <c r="A47" s="25" t="s">
        <v>20</v>
      </c>
      <c r="B47" s="113" t="s">
        <v>42</v>
      </c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24"/>
      <c r="V47" s="39"/>
      <c r="W47" s="39"/>
      <c r="X47" s="24">
        <f t="shared" si="4"/>
        <v>0</v>
      </c>
      <c r="Y47" s="87"/>
      <c r="Z47" s="88"/>
      <c r="AB47" s="24"/>
      <c r="AC47" s="24"/>
      <c r="AD47" s="24"/>
      <c r="AE47" s="42"/>
      <c r="AF47" s="87"/>
      <c r="AG47" s="88"/>
      <c r="AI47" s="24"/>
      <c r="AJ47" s="24"/>
      <c r="AK47" s="24"/>
      <c r="AL47" s="42"/>
      <c r="AM47" s="87"/>
      <c r="AN47" s="88"/>
    </row>
    <row r="48" spans="1:40" ht="33.75" customHeight="1" x14ac:dyDescent="0.25">
      <c r="A48" s="25" t="s">
        <v>19</v>
      </c>
      <c r="B48" s="110" t="s">
        <v>59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2"/>
      <c r="U48" s="24"/>
      <c r="V48" s="39"/>
      <c r="W48" s="39"/>
      <c r="X48" s="24">
        <f t="shared" si="4"/>
        <v>0</v>
      </c>
      <c r="Y48" s="87"/>
      <c r="Z48" s="88"/>
      <c r="AB48" s="24"/>
      <c r="AC48" s="24"/>
      <c r="AD48" s="24"/>
      <c r="AE48" s="42"/>
      <c r="AF48" s="87"/>
      <c r="AG48" s="88"/>
      <c r="AI48" s="24"/>
      <c r="AJ48" s="24"/>
      <c r="AK48" s="24"/>
      <c r="AL48" s="42"/>
      <c r="AM48" s="87"/>
      <c r="AN48" s="88"/>
    </row>
    <row r="49" spans="1:40" ht="33.75" customHeight="1" x14ac:dyDescent="0.25">
      <c r="A49" s="32" t="s">
        <v>8</v>
      </c>
      <c r="B49" s="91" t="s">
        <v>83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>
        <f>AVERAGE(U50:U54,W52)</f>
        <v>2</v>
      </c>
      <c r="V49" s="91"/>
      <c r="W49" s="91"/>
      <c r="X49" s="78"/>
      <c r="Y49" s="49">
        <v>3</v>
      </c>
      <c r="Z49" s="54">
        <f>U49*Y49</f>
        <v>6</v>
      </c>
      <c r="AB49" s="91"/>
      <c r="AC49" s="91"/>
      <c r="AD49" s="91"/>
      <c r="AE49" s="78"/>
      <c r="AF49" s="49">
        <v>3</v>
      </c>
      <c r="AG49" s="41">
        <f>AB49*AF49</f>
        <v>0</v>
      </c>
      <c r="AI49" s="91"/>
      <c r="AJ49" s="91"/>
      <c r="AK49" s="91"/>
      <c r="AL49" s="78"/>
      <c r="AM49" s="49">
        <v>3</v>
      </c>
      <c r="AN49" s="54">
        <f>AI49*AM49</f>
        <v>0</v>
      </c>
    </row>
    <row r="50" spans="1:40" ht="33.75" customHeight="1" x14ac:dyDescent="0.25">
      <c r="A50" s="25" t="s">
        <v>21</v>
      </c>
      <c r="B50" s="113" t="s">
        <v>68</v>
      </c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24">
        <v>2</v>
      </c>
      <c r="V50" s="39"/>
      <c r="W50" s="39"/>
      <c r="X50" s="24">
        <f t="shared" ref="X50:X54" si="5">+MAX(U50:W50)</f>
        <v>2</v>
      </c>
      <c r="Y50" s="92"/>
      <c r="Z50" s="92"/>
      <c r="AB50" s="24"/>
      <c r="AC50" s="24"/>
      <c r="AD50" s="24"/>
      <c r="AE50" s="24"/>
      <c r="AF50" s="92"/>
      <c r="AG50" s="92"/>
      <c r="AI50" s="24"/>
      <c r="AJ50" s="24"/>
      <c r="AK50" s="24"/>
      <c r="AL50" s="24"/>
      <c r="AM50" s="92"/>
      <c r="AN50" s="92"/>
    </row>
    <row r="51" spans="1:40" ht="33.75" customHeight="1" x14ac:dyDescent="0.25">
      <c r="A51" s="25" t="s">
        <v>20</v>
      </c>
      <c r="B51" s="110" t="s">
        <v>49</v>
      </c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2"/>
      <c r="U51" s="24"/>
      <c r="V51" s="40"/>
      <c r="W51" s="40"/>
      <c r="X51" s="24">
        <f t="shared" si="5"/>
        <v>0</v>
      </c>
      <c r="Y51" s="92"/>
      <c r="Z51" s="92"/>
      <c r="AB51" s="47"/>
      <c r="AC51" s="47"/>
      <c r="AD51" s="47"/>
      <c r="AE51" s="47"/>
      <c r="AF51" s="92"/>
      <c r="AG51" s="92"/>
      <c r="AI51" s="47"/>
      <c r="AJ51" s="47"/>
      <c r="AK51" s="47"/>
      <c r="AL51" s="47"/>
      <c r="AM51" s="92"/>
      <c r="AN51" s="92"/>
    </row>
    <row r="52" spans="1:40" ht="33.75" customHeight="1" x14ac:dyDescent="0.25">
      <c r="A52" s="25" t="s">
        <v>19</v>
      </c>
      <c r="B52" s="110" t="s">
        <v>45</v>
      </c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2"/>
      <c r="U52" s="24"/>
      <c r="V52" s="40"/>
      <c r="W52" s="24"/>
      <c r="X52" s="24">
        <f t="shared" si="5"/>
        <v>0</v>
      </c>
      <c r="Y52" s="92"/>
      <c r="Z52" s="92"/>
      <c r="AB52" s="47"/>
      <c r="AC52" s="47"/>
      <c r="AD52" s="47"/>
      <c r="AE52" s="47"/>
      <c r="AF52" s="92"/>
      <c r="AG52" s="92"/>
      <c r="AI52" s="47"/>
      <c r="AJ52" s="47"/>
      <c r="AK52" s="47"/>
      <c r="AL52" s="47"/>
      <c r="AM52" s="92"/>
      <c r="AN52" s="92"/>
    </row>
    <row r="53" spans="1:40" ht="33.75" customHeight="1" x14ac:dyDescent="0.25">
      <c r="A53" s="25" t="s">
        <v>18</v>
      </c>
      <c r="B53" s="113" t="s">
        <v>42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24"/>
      <c r="V53" s="39"/>
      <c r="W53" s="39"/>
      <c r="X53" s="24">
        <f t="shared" si="5"/>
        <v>0</v>
      </c>
      <c r="Y53" s="92"/>
      <c r="Z53" s="92"/>
      <c r="AB53" s="24"/>
      <c r="AC53" s="24"/>
      <c r="AD53" s="24"/>
      <c r="AE53" s="42"/>
      <c r="AF53" s="92"/>
      <c r="AG53" s="92"/>
      <c r="AI53" s="24"/>
      <c r="AJ53" s="24"/>
      <c r="AK53" s="24"/>
      <c r="AL53" s="42"/>
      <c r="AM53" s="92"/>
      <c r="AN53" s="92"/>
    </row>
    <row r="54" spans="1:40" ht="33.75" customHeight="1" x14ac:dyDescent="0.25">
      <c r="A54" s="25" t="s">
        <v>23</v>
      </c>
      <c r="B54" s="114" t="s">
        <v>69</v>
      </c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6"/>
      <c r="U54" s="24"/>
      <c r="V54" s="39"/>
      <c r="W54" s="39"/>
      <c r="X54" s="24">
        <f t="shared" si="5"/>
        <v>0</v>
      </c>
      <c r="Y54" s="92"/>
      <c r="Z54" s="92"/>
      <c r="AB54" s="24"/>
      <c r="AC54" s="24"/>
      <c r="AD54" s="24"/>
      <c r="AE54" s="42"/>
      <c r="AF54" s="92"/>
      <c r="AG54" s="92"/>
      <c r="AI54" s="24"/>
      <c r="AJ54" s="24"/>
      <c r="AK54" s="24"/>
      <c r="AL54" s="42"/>
      <c r="AM54" s="92"/>
      <c r="AN54" s="92"/>
    </row>
    <row r="55" spans="1:40" ht="38.25" customHeight="1" x14ac:dyDescent="0.25">
      <c r="A55" s="32" t="s">
        <v>9</v>
      </c>
      <c r="B55" s="91" t="s">
        <v>84</v>
      </c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>
        <f>AVERAGE(V56:V60)</f>
        <v>2</v>
      </c>
      <c r="V55" s="91"/>
      <c r="W55" s="91"/>
      <c r="X55" s="78"/>
      <c r="Y55" s="49">
        <v>3</v>
      </c>
      <c r="Z55" s="54">
        <f>U55*Y55</f>
        <v>6</v>
      </c>
      <c r="AB55" s="91"/>
      <c r="AC55" s="91"/>
      <c r="AD55" s="91"/>
      <c r="AE55" s="78"/>
      <c r="AF55" s="49">
        <v>3</v>
      </c>
      <c r="AG55" s="41">
        <f>AB55*AF55</f>
        <v>0</v>
      </c>
      <c r="AI55" s="91"/>
      <c r="AJ55" s="91"/>
      <c r="AK55" s="91"/>
      <c r="AL55" s="78"/>
      <c r="AM55" s="49">
        <v>3</v>
      </c>
      <c r="AN55" s="54">
        <f>AI55*AM55</f>
        <v>0</v>
      </c>
    </row>
    <row r="56" spans="1:40" ht="38.25" customHeight="1" x14ac:dyDescent="0.25">
      <c r="A56" s="25" t="s">
        <v>21</v>
      </c>
      <c r="B56" s="113" t="s">
        <v>52</v>
      </c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39"/>
      <c r="V56" s="24">
        <v>2</v>
      </c>
      <c r="W56" s="39"/>
      <c r="X56" s="24">
        <f t="shared" ref="X56:X60" si="6">+MAX(U56:W56)</f>
        <v>2</v>
      </c>
      <c r="Y56" s="85"/>
      <c r="Z56" s="86"/>
      <c r="AB56" s="24"/>
      <c r="AC56" s="24"/>
      <c r="AD56" s="24"/>
      <c r="AE56" s="42"/>
      <c r="AF56" s="85"/>
      <c r="AG56" s="86"/>
      <c r="AI56" s="24"/>
      <c r="AJ56" s="24"/>
      <c r="AK56" s="24"/>
      <c r="AL56" s="42"/>
      <c r="AM56" s="85"/>
      <c r="AN56" s="86"/>
    </row>
    <row r="57" spans="1:40" ht="38.25" customHeight="1" x14ac:dyDescent="0.25">
      <c r="A57" s="25" t="s">
        <v>20</v>
      </c>
      <c r="B57" s="113" t="s">
        <v>51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39"/>
      <c r="V57" s="24"/>
      <c r="W57" s="39"/>
      <c r="X57" s="24">
        <f t="shared" si="6"/>
        <v>0</v>
      </c>
      <c r="Y57" s="87"/>
      <c r="Z57" s="88"/>
      <c r="AB57" s="24"/>
      <c r="AC57" s="24"/>
      <c r="AD57" s="24"/>
      <c r="AE57" s="42"/>
      <c r="AF57" s="87"/>
      <c r="AG57" s="88"/>
      <c r="AI57" s="24"/>
      <c r="AJ57" s="24"/>
      <c r="AK57" s="24"/>
      <c r="AL57" s="42"/>
      <c r="AM57" s="87"/>
      <c r="AN57" s="88"/>
    </row>
    <row r="58" spans="1:40" ht="38.25" customHeight="1" x14ac:dyDescent="0.25">
      <c r="A58" s="25" t="s">
        <v>19</v>
      </c>
      <c r="B58" s="113" t="s">
        <v>70</v>
      </c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39"/>
      <c r="V58" s="24"/>
      <c r="W58" s="39"/>
      <c r="X58" s="24">
        <f t="shared" si="6"/>
        <v>0</v>
      </c>
      <c r="Y58" s="87"/>
      <c r="Z58" s="88"/>
      <c r="AB58" s="24"/>
      <c r="AC58" s="24"/>
      <c r="AD58" s="24"/>
      <c r="AE58" s="42"/>
      <c r="AF58" s="87"/>
      <c r="AG58" s="88"/>
      <c r="AI58" s="24"/>
      <c r="AJ58" s="24"/>
      <c r="AK58" s="24"/>
      <c r="AL58" s="42"/>
      <c r="AM58" s="87"/>
      <c r="AN58" s="88"/>
    </row>
    <row r="59" spans="1:40" ht="38.25" customHeight="1" x14ac:dyDescent="0.25">
      <c r="A59" s="25" t="s">
        <v>18</v>
      </c>
      <c r="B59" s="113" t="s">
        <v>71</v>
      </c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39"/>
      <c r="V59" s="24"/>
      <c r="W59" s="39"/>
      <c r="X59" s="24">
        <f t="shared" si="6"/>
        <v>0</v>
      </c>
      <c r="Y59" s="87"/>
      <c r="Z59" s="88"/>
      <c r="AB59" s="24"/>
      <c r="AC59" s="24"/>
      <c r="AD59" s="24"/>
      <c r="AE59" s="42"/>
      <c r="AF59" s="87"/>
      <c r="AG59" s="88"/>
      <c r="AI59" s="24"/>
      <c r="AJ59" s="24"/>
      <c r="AK59" s="24"/>
      <c r="AL59" s="42"/>
      <c r="AM59" s="87"/>
      <c r="AN59" s="88"/>
    </row>
    <row r="60" spans="1:40" ht="38.25" customHeight="1" x14ac:dyDescent="0.25">
      <c r="A60" s="25" t="s">
        <v>23</v>
      </c>
      <c r="B60" s="113" t="s">
        <v>72</v>
      </c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39"/>
      <c r="V60" s="24"/>
      <c r="W60" s="39"/>
      <c r="X60" s="24">
        <f t="shared" si="6"/>
        <v>0</v>
      </c>
      <c r="Y60" s="87"/>
      <c r="Z60" s="88"/>
      <c r="AB60" s="24"/>
      <c r="AC60" s="24"/>
      <c r="AD60" s="24"/>
      <c r="AE60" s="42"/>
      <c r="AF60" s="87"/>
      <c r="AG60" s="88"/>
      <c r="AI60" s="24"/>
      <c r="AJ60" s="24"/>
      <c r="AK60" s="24"/>
      <c r="AL60" s="42"/>
      <c r="AM60" s="87"/>
      <c r="AN60" s="88"/>
    </row>
    <row r="61" spans="1:40" ht="26.25" customHeight="1" x14ac:dyDescent="0.25">
      <c r="A61" s="35"/>
      <c r="B61" s="104" t="s">
        <v>148</v>
      </c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6"/>
      <c r="U61" s="107"/>
      <c r="V61" s="108"/>
      <c r="W61" s="108"/>
      <c r="X61" s="109"/>
      <c r="Y61" s="5"/>
      <c r="Z61" s="73">
        <f>SUM(Z7:Z60)</f>
        <v>46</v>
      </c>
      <c r="AB61" s="107"/>
      <c r="AC61" s="108"/>
      <c r="AD61" s="108"/>
      <c r="AE61" s="109"/>
      <c r="AF61" s="5"/>
      <c r="AG61" s="45">
        <f>SUM(AG7:AG60)</f>
        <v>0</v>
      </c>
      <c r="AI61" s="107"/>
      <c r="AJ61" s="108"/>
      <c r="AK61" s="108"/>
      <c r="AL61" s="109"/>
      <c r="AM61" s="5"/>
      <c r="AN61" s="45">
        <f>SUM(AN7:AN60)</f>
        <v>0</v>
      </c>
    </row>
    <row r="62" spans="1:40" ht="12.75" customHeight="1" x14ac:dyDescent="0.25">
      <c r="A62" s="8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40" ht="16.5" thickBot="1" x14ac:dyDescent="0.3">
      <c r="A63" s="8"/>
      <c r="B63" s="1"/>
      <c r="C63" s="1"/>
      <c r="D63" s="1"/>
      <c r="E63" s="1"/>
      <c r="F63" s="1"/>
      <c r="G63" s="1"/>
      <c r="H63" s="1"/>
      <c r="I63" s="19"/>
      <c r="J63" s="19"/>
      <c r="K63" s="19"/>
      <c r="L63" s="19"/>
      <c r="M63" s="19"/>
      <c r="N63" s="19"/>
      <c r="O63" s="79"/>
      <c r="P63" s="79"/>
      <c r="Q63" s="79"/>
      <c r="T63" s="50"/>
      <c r="U63" s="10"/>
      <c r="V63" s="10"/>
      <c r="W63" s="10"/>
      <c r="X63" s="36"/>
    </row>
    <row r="64" spans="1:40" ht="21.75" customHeight="1" thickBot="1" x14ac:dyDescent="0.3">
      <c r="I64" s="93" t="s">
        <v>149</v>
      </c>
      <c r="J64" s="94"/>
      <c r="K64" s="94"/>
      <c r="L64" s="94"/>
      <c r="M64" s="94"/>
      <c r="N64" s="94"/>
      <c r="O64" s="94"/>
      <c r="P64" s="94"/>
      <c r="Q64" s="95"/>
      <c r="R64" s="22"/>
      <c r="S64" s="22"/>
      <c r="U64" s="16"/>
      <c r="V64" s="2"/>
      <c r="W64" s="117" t="s">
        <v>10</v>
      </c>
      <c r="X64" s="118"/>
      <c r="Y64" s="119"/>
      <c r="Z64" s="14"/>
      <c r="AA64" s="14"/>
    </row>
    <row r="65" spans="1:35" ht="21.75" customHeight="1" thickBot="1" x14ac:dyDescent="0.3">
      <c r="I65" s="93" t="s">
        <v>147</v>
      </c>
      <c r="J65" s="94"/>
      <c r="K65" s="94"/>
      <c r="L65" s="94"/>
      <c r="M65" s="94"/>
      <c r="N65" s="94"/>
      <c r="O65" s="94"/>
      <c r="P65" s="94"/>
      <c r="Q65" s="95"/>
      <c r="R65" s="22"/>
      <c r="S65" s="22"/>
      <c r="U65" s="3"/>
      <c r="V65" s="31"/>
      <c r="W65" s="4">
        <v>1</v>
      </c>
      <c r="X65" s="4">
        <v>2</v>
      </c>
      <c r="Y65" s="4">
        <v>3</v>
      </c>
      <c r="Z65" s="16"/>
      <c r="AG65"/>
      <c r="AI65" s="10"/>
    </row>
    <row r="66" spans="1:35" ht="17.850000000000001" customHeight="1" thickBot="1" x14ac:dyDescent="0.4">
      <c r="I66" s="81" t="s">
        <v>150</v>
      </c>
      <c r="J66" s="82"/>
      <c r="K66" s="82"/>
      <c r="L66" s="82"/>
      <c r="M66" s="82"/>
      <c r="N66" s="82"/>
      <c r="O66" s="82"/>
      <c r="P66" s="82"/>
      <c r="Q66" s="83"/>
      <c r="U66" s="96" t="s">
        <v>11</v>
      </c>
      <c r="V66" s="46">
        <v>1</v>
      </c>
      <c r="W66" s="75">
        <v>1</v>
      </c>
      <c r="X66" s="77">
        <v>2</v>
      </c>
      <c r="Y66" s="77">
        <v>3</v>
      </c>
      <c r="AG66"/>
      <c r="AI66" s="10"/>
    </row>
    <row r="67" spans="1:35" ht="21.75" customHeight="1" x14ac:dyDescent="0.25">
      <c r="I67" s="84"/>
      <c r="J67" s="84"/>
      <c r="K67" s="84"/>
      <c r="L67" s="84"/>
      <c r="M67" s="84"/>
      <c r="N67" s="84"/>
      <c r="O67" s="84"/>
      <c r="P67" s="84"/>
      <c r="Q67" s="84"/>
      <c r="U67" s="97"/>
      <c r="V67" s="46">
        <v>2</v>
      </c>
      <c r="W67" s="75">
        <v>2</v>
      </c>
      <c r="X67" s="51">
        <v>4</v>
      </c>
      <c r="Y67" s="74">
        <v>6</v>
      </c>
      <c r="AG67"/>
      <c r="AI67" s="10"/>
    </row>
    <row r="68" spans="1:35" ht="22.5" customHeight="1" thickBot="1" x14ac:dyDescent="0.3">
      <c r="U68" s="97"/>
      <c r="V68" s="46">
        <v>3</v>
      </c>
      <c r="W68" s="76">
        <v>3</v>
      </c>
      <c r="X68" s="6">
        <v>6</v>
      </c>
      <c r="Y68" s="6">
        <v>9</v>
      </c>
      <c r="AG68"/>
      <c r="AI68" s="10"/>
    </row>
    <row r="69" spans="1:35" ht="21" customHeight="1" x14ac:dyDescent="0.25">
      <c r="U69" s="52"/>
    </row>
    <row r="70" spans="1:35" ht="21" customHeight="1" x14ac:dyDescent="0.25">
      <c r="X70" s="36"/>
      <c r="Z70" s="21"/>
      <c r="AA70" s="21"/>
    </row>
    <row r="71" spans="1:35" ht="21" customHeight="1" x14ac:dyDescent="0.25">
      <c r="R71" s="98"/>
      <c r="S71" s="98"/>
      <c r="X71" s="36"/>
      <c r="Z71" s="21"/>
      <c r="AA71" s="21"/>
    </row>
    <row r="72" spans="1:35" ht="13.5" customHeight="1" x14ac:dyDescent="0.25">
      <c r="A72" s="8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53"/>
      <c r="Z72" s="21"/>
      <c r="AA72" s="21"/>
    </row>
    <row r="73" spans="1:35" ht="20.25" customHeight="1" x14ac:dyDescent="0.25">
      <c r="A73" s="99"/>
      <c r="B73" s="99"/>
      <c r="C73" s="99"/>
      <c r="D73" s="99"/>
      <c r="E73" s="38"/>
      <c r="F73" s="38"/>
      <c r="G73" s="38"/>
      <c r="H73" s="7"/>
      <c r="I73" s="7"/>
      <c r="J73" s="7"/>
      <c r="K73" s="7"/>
      <c r="L73" s="7"/>
      <c r="M73" s="7"/>
      <c r="N73" s="7"/>
      <c r="O73" s="7"/>
      <c r="P73" s="7"/>
      <c r="Q73" s="7"/>
      <c r="R73" s="80" t="s">
        <v>144</v>
      </c>
      <c r="S73" s="1"/>
      <c r="T73" s="1"/>
      <c r="U73" s="1"/>
      <c r="V73" s="1"/>
      <c r="W73" s="1"/>
      <c r="X73" s="8"/>
      <c r="Y73" s="1"/>
      <c r="Z73" s="21"/>
      <c r="AA73" s="21"/>
    </row>
    <row r="74" spans="1:35" ht="14.25" customHeight="1" x14ac:dyDescent="0.25">
      <c r="A74" s="37"/>
      <c r="B74" s="1"/>
      <c r="P74" s="7"/>
      <c r="Q74" s="1"/>
      <c r="R74" s="17"/>
      <c r="S74" s="13"/>
      <c r="T74" s="13"/>
      <c r="U74" s="13"/>
      <c r="V74" s="13"/>
      <c r="W74" s="13"/>
      <c r="X74" s="55"/>
      <c r="Z74" s="13"/>
      <c r="AA74" s="13"/>
      <c r="AB74" s="13"/>
      <c r="AC74" s="13"/>
      <c r="AD74" s="13"/>
      <c r="AE74" s="13"/>
      <c r="AF74" s="13"/>
      <c r="AG74" s="13"/>
      <c r="AH74" s="13"/>
      <c r="AI74" s="10"/>
    </row>
    <row r="75" spans="1:35" ht="130.69999999999999" customHeight="1" x14ac:dyDescent="0.25"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8"/>
      <c r="Y75" s="18"/>
      <c r="Z75" s="18"/>
      <c r="AI75" s="10"/>
    </row>
    <row r="76" spans="1:35" ht="50.25" customHeight="1" x14ac:dyDescent="0.25">
      <c r="S76" s="10"/>
      <c r="T76" s="10"/>
      <c r="U76" s="10"/>
      <c r="V76" s="10"/>
      <c r="W76" s="10"/>
      <c r="X76" s="36"/>
      <c r="AI76" s="10"/>
    </row>
    <row r="77" spans="1:35" ht="30" customHeight="1" x14ac:dyDescent="0.25">
      <c r="S77" s="10"/>
      <c r="T77" s="10"/>
      <c r="U77" s="10"/>
      <c r="V77" s="10"/>
      <c r="W77" s="10"/>
      <c r="X77" s="36"/>
      <c r="AI77" s="10"/>
    </row>
    <row r="78" spans="1:35" ht="35.1" customHeight="1" x14ac:dyDescent="0.25">
      <c r="S78" s="10"/>
      <c r="T78" s="10"/>
      <c r="U78" s="10"/>
      <c r="V78" s="10"/>
      <c r="W78" s="10"/>
      <c r="X78" s="36"/>
      <c r="AI78" s="10"/>
    </row>
    <row r="79" spans="1:35" s="20" customFormat="1" ht="35.1" customHeight="1" x14ac:dyDescent="0.25"/>
    <row r="80" spans="1:35" s="20" customFormat="1" ht="35.1" customHeight="1" x14ac:dyDescent="0.25"/>
    <row r="81" spans="19:35" s="20" customFormat="1" ht="35.1" customHeight="1" x14ac:dyDescent="0.25"/>
    <row r="82" spans="19:35" s="20" customFormat="1" ht="35.1" customHeight="1" x14ac:dyDescent="0.25"/>
    <row r="83" spans="19:35" s="20" customFormat="1" ht="35.1" customHeight="1" x14ac:dyDescent="0.25"/>
    <row r="84" spans="19:35" s="20" customFormat="1" ht="35.1" customHeight="1" x14ac:dyDescent="0.25"/>
    <row r="85" spans="19:35" ht="35.1" customHeight="1" x14ac:dyDescent="0.25">
      <c r="S85" s="10"/>
      <c r="T85" s="10"/>
      <c r="U85" s="10"/>
      <c r="V85" s="10"/>
      <c r="W85" s="10"/>
      <c r="X85" s="36"/>
      <c r="AI85" s="10"/>
    </row>
    <row r="86" spans="19:35" ht="35.1" customHeight="1" x14ac:dyDescent="0.25">
      <c r="S86" s="10"/>
      <c r="T86" s="10"/>
      <c r="U86" s="10"/>
      <c r="V86" s="10"/>
      <c r="W86" s="10"/>
      <c r="X86" s="36"/>
      <c r="AI86" s="10"/>
    </row>
    <row r="87" spans="19:35" ht="35.1" customHeight="1" x14ac:dyDescent="0.25">
      <c r="S87" s="10"/>
      <c r="T87" s="10"/>
      <c r="U87" s="10"/>
      <c r="V87" s="10"/>
      <c r="W87" s="10"/>
      <c r="X87" s="36"/>
      <c r="AI87" s="10"/>
    </row>
    <row r="88" spans="19:35" ht="35.1" customHeight="1" x14ac:dyDescent="0.25">
      <c r="S88" s="10"/>
      <c r="T88" s="10"/>
      <c r="U88" s="10"/>
      <c r="V88" s="10"/>
      <c r="W88" s="10"/>
      <c r="X88" s="36"/>
      <c r="AI88" s="10"/>
    </row>
    <row r="89" spans="19:35" ht="35.1" customHeight="1" x14ac:dyDescent="0.25">
      <c r="S89" s="10"/>
      <c r="T89" s="10"/>
      <c r="U89" s="10"/>
      <c r="V89" s="10"/>
      <c r="W89" s="10"/>
      <c r="X89" s="36"/>
      <c r="AI89" s="10"/>
    </row>
    <row r="90" spans="19:35" ht="35.1" customHeight="1" x14ac:dyDescent="0.25">
      <c r="S90" s="10"/>
      <c r="T90" s="10"/>
      <c r="U90" s="10"/>
      <c r="V90" s="10"/>
      <c r="W90" s="10"/>
      <c r="X90" s="36"/>
      <c r="AI90" s="10"/>
    </row>
    <row r="91" spans="19:35" ht="35.1" customHeight="1" x14ac:dyDescent="0.25">
      <c r="S91" s="10"/>
      <c r="T91" s="10"/>
      <c r="U91" s="10"/>
      <c r="V91" s="10"/>
      <c r="W91" s="10"/>
      <c r="X91" s="36"/>
      <c r="AI91" s="10"/>
    </row>
    <row r="92" spans="19:35" ht="35.1" customHeight="1" x14ac:dyDescent="0.25">
      <c r="S92" s="10"/>
      <c r="T92" s="10"/>
      <c r="U92" s="10"/>
      <c r="V92" s="10"/>
      <c r="W92" s="10"/>
      <c r="X92" s="36"/>
      <c r="AI92" s="10"/>
    </row>
    <row r="93" spans="19:35" ht="35.1" customHeight="1" x14ac:dyDescent="0.25">
      <c r="S93" s="10"/>
      <c r="T93" s="10"/>
      <c r="U93" s="10"/>
      <c r="V93" s="10"/>
      <c r="W93" s="10"/>
      <c r="X93" s="36"/>
      <c r="AI93" s="10"/>
    </row>
    <row r="94" spans="19:35" ht="35.1" customHeight="1" x14ac:dyDescent="0.25">
      <c r="S94" s="10"/>
      <c r="T94" s="10"/>
      <c r="U94" s="10"/>
      <c r="V94" s="10"/>
      <c r="W94" s="10"/>
      <c r="X94" s="36"/>
      <c r="AI94" s="10"/>
    </row>
    <row r="95" spans="19:35" ht="35.1" customHeight="1" x14ac:dyDescent="0.25">
      <c r="S95" s="10"/>
      <c r="T95" s="10"/>
      <c r="U95" s="10"/>
      <c r="V95" s="10"/>
      <c r="W95" s="10"/>
      <c r="X95" s="36"/>
      <c r="AI95" s="10"/>
    </row>
    <row r="96" spans="19:35" ht="35.1" customHeight="1" x14ac:dyDescent="0.25">
      <c r="S96" s="10"/>
      <c r="T96" s="10"/>
      <c r="U96" s="10"/>
      <c r="V96" s="10"/>
      <c r="W96" s="10"/>
      <c r="X96" s="36"/>
      <c r="AI96" s="10"/>
    </row>
    <row r="97" spans="19:35" ht="35.1" customHeight="1" x14ac:dyDescent="0.25">
      <c r="S97" s="10"/>
      <c r="T97" s="10"/>
      <c r="U97" s="10"/>
      <c r="V97" s="10"/>
      <c r="W97" s="10"/>
      <c r="X97" s="36"/>
      <c r="AI97" s="10"/>
    </row>
    <row r="98" spans="19:35" ht="35.1" customHeight="1" x14ac:dyDescent="0.25">
      <c r="S98" s="10"/>
      <c r="T98" s="10"/>
      <c r="U98" s="10"/>
      <c r="V98" s="10"/>
      <c r="W98" s="10"/>
      <c r="X98" s="36"/>
      <c r="AI98" s="10"/>
    </row>
    <row r="99" spans="19:35" ht="35.1" customHeight="1" x14ac:dyDescent="0.25">
      <c r="S99" s="10"/>
      <c r="T99" s="10"/>
      <c r="U99" s="10"/>
      <c r="V99" s="10"/>
      <c r="W99" s="10"/>
      <c r="X99" s="36"/>
      <c r="AI99" s="10"/>
    </row>
    <row r="100" spans="19:35" ht="35.1" customHeight="1" x14ac:dyDescent="0.25">
      <c r="S100" s="10"/>
      <c r="T100" s="10"/>
      <c r="U100" s="10"/>
      <c r="V100" s="10"/>
      <c r="W100" s="10"/>
      <c r="X100" s="36"/>
      <c r="AI100" s="10"/>
    </row>
    <row r="101" spans="19:35" ht="35.1" customHeight="1" x14ac:dyDescent="0.25">
      <c r="S101" s="10"/>
      <c r="T101" s="10"/>
      <c r="U101" s="10"/>
      <c r="V101" s="10"/>
      <c r="W101" s="10"/>
      <c r="X101" s="36"/>
      <c r="AI101" s="10"/>
    </row>
    <row r="102" spans="19:35" ht="35.1" customHeight="1" x14ac:dyDescent="0.25">
      <c r="S102" s="10"/>
      <c r="T102" s="10"/>
      <c r="U102" s="10"/>
      <c r="V102" s="10"/>
      <c r="W102" s="10"/>
      <c r="X102" s="36"/>
      <c r="AI102" s="10"/>
    </row>
    <row r="103" spans="19:35" ht="35.1" customHeight="1" x14ac:dyDescent="0.25">
      <c r="S103" s="10"/>
      <c r="T103" s="10"/>
      <c r="U103" s="10"/>
      <c r="V103" s="10"/>
      <c r="W103" s="10"/>
      <c r="X103" s="36"/>
      <c r="AI103" s="10"/>
    </row>
    <row r="104" spans="19:35" ht="35.1" customHeight="1" x14ac:dyDescent="0.25">
      <c r="S104" s="10"/>
      <c r="T104" s="10"/>
      <c r="U104" s="10"/>
      <c r="V104" s="10"/>
      <c r="W104" s="10"/>
      <c r="X104" s="36"/>
      <c r="AI104" s="10"/>
    </row>
    <row r="105" spans="19:35" ht="35.1" customHeight="1" x14ac:dyDescent="0.25">
      <c r="S105" s="10"/>
      <c r="T105" s="10"/>
      <c r="U105" s="10"/>
      <c r="V105" s="10"/>
      <c r="W105" s="10"/>
      <c r="X105" s="36"/>
      <c r="AI105" s="10"/>
    </row>
    <row r="106" spans="19:35" ht="35.1" customHeight="1" x14ac:dyDescent="0.25">
      <c r="S106" s="10"/>
      <c r="T106" s="10"/>
      <c r="U106" s="10"/>
      <c r="V106" s="10"/>
      <c r="W106" s="10"/>
      <c r="X106" s="36"/>
      <c r="AI106" s="10"/>
    </row>
    <row r="107" spans="19:35" ht="35.1" customHeight="1" x14ac:dyDescent="0.25">
      <c r="S107" s="10"/>
      <c r="T107" s="10"/>
      <c r="U107" s="10"/>
      <c r="V107" s="10"/>
      <c r="W107" s="10"/>
      <c r="X107" s="36"/>
      <c r="AI107" s="10"/>
    </row>
    <row r="108" spans="19:35" ht="35.1" customHeight="1" x14ac:dyDescent="0.25">
      <c r="S108" s="10"/>
      <c r="T108" s="10"/>
      <c r="U108" s="10"/>
      <c r="V108" s="10"/>
      <c r="W108" s="10"/>
      <c r="X108" s="36"/>
      <c r="AI108" s="10"/>
    </row>
    <row r="109" spans="19:35" ht="35.1" customHeight="1" x14ac:dyDescent="0.25">
      <c r="S109" s="10"/>
      <c r="T109" s="10"/>
      <c r="U109" s="10"/>
      <c r="V109" s="10"/>
      <c r="W109" s="10"/>
      <c r="X109" s="36"/>
      <c r="AI109" s="10"/>
    </row>
    <row r="110" spans="19:35" ht="30" customHeight="1" x14ac:dyDescent="0.25">
      <c r="AI110" s="10"/>
    </row>
    <row r="111" spans="19:35" ht="30" customHeight="1" x14ac:dyDescent="0.25">
      <c r="AI111" s="10"/>
    </row>
    <row r="112" spans="19:35" x14ac:dyDescent="0.25">
      <c r="AI112" s="10"/>
    </row>
    <row r="113" spans="35:35" x14ac:dyDescent="0.25">
      <c r="AI113" s="10"/>
    </row>
    <row r="114" spans="35:35" x14ac:dyDescent="0.25">
      <c r="AI114" s="10"/>
    </row>
    <row r="115" spans="35:35" x14ac:dyDescent="0.25">
      <c r="AI115" s="10"/>
    </row>
    <row r="116" spans="35:35" x14ac:dyDescent="0.25">
      <c r="AI116" s="10"/>
    </row>
    <row r="117" spans="35:35" x14ac:dyDescent="0.25">
      <c r="AI117" s="10"/>
    </row>
    <row r="118" spans="35:35" x14ac:dyDescent="0.25">
      <c r="AI118" s="10"/>
    </row>
    <row r="119" spans="35:35" x14ac:dyDescent="0.25">
      <c r="AI119" s="10"/>
    </row>
    <row r="120" spans="35:35" x14ac:dyDescent="0.25">
      <c r="AI120" s="10"/>
    </row>
    <row r="121" spans="35:35" x14ac:dyDescent="0.25">
      <c r="AI121" s="10"/>
    </row>
    <row r="122" spans="35:35" x14ac:dyDescent="0.25">
      <c r="AI122" s="10"/>
    </row>
    <row r="123" spans="35:35" x14ac:dyDescent="0.25">
      <c r="AI123" s="10"/>
    </row>
    <row r="124" spans="35:35" x14ac:dyDescent="0.25">
      <c r="AI124" s="10"/>
    </row>
    <row r="125" spans="35:35" x14ac:dyDescent="0.25">
      <c r="AI125" s="10"/>
    </row>
    <row r="126" spans="35:35" x14ac:dyDescent="0.25">
      <c r="AI126" s="10"/>
    </row>
  </sheetData>
  <sheetProtection selectLockedCells="1"/>
  <mergeCells count="130">
    <mergeCell ref="B6:T6"/>
    <mergeCell ref="B7:T7"/>
    <mergeCell ref="AI7:AK7"/>
    <mergeCell ref="A1:AA1"/>
    <mergeCell ref="P2:R2"/>
    <mergeCell ref="B3:H3"/>
    <mergeCell ref="I3:O3"/>
    <mergeCell ref="P3:R3"/>
    <mergeCell ref="B4:M4"/>
    <mergeCell ref="U4:Y4"/>
    <mergeCell ref="AB4:AF4"/>
    <mergeCell ref="AI4:AM4"/>
    <mergeCell ref="AF18:AG20"/>
    <mergeCell ref="AM18:AN20"/>
    <mergeCell ref="B19:T19"/>
    <mergeCell ref="B20:T20"/>
    <mergeCell ref="B16:T16"/>
    <mergeCell ref="B17:T17"/>
    <mergeCell ref="AI17:AK17"/>
    <mergeCell ref="B8:T8"/>
    <mergeCell ref="AF8:AG16"/>
    <mergeCell ref="AM8:AN16"/>
    <mergeCell ref="B9:T9"/>
    <mergeCell ref="B10:T10"/>
    <mergeCell ref="B11:T11"/>
    <mergeCell ref="B12:T12"/>
    <mergeCell ref="B13:T13"/>
    <mergeCell ref="B14:T14"/>
    <mergeCell ref="B15:T15"/>
    <mergeCell ref="B24:T24"/>
    <mergeCell ref="B25:T25"/>
    <mergeCell ref="B26:T26"/>
    <mergeCell ref="B27:T27"/>
    <mergeCell ref="B21:T21"/>
    <mergeCell ref="B22:T22"/>
    <mergeCell ref="B23:T23"/>
    <mergeCell ref="Y22:Z27"/>
    <mergeCell ref="B18:T18"/>
    <mergeCell ref="Y18:Z20"/>
    <mergeCell ref="B30:T30"/>
    <mergeCell ref="B31:T31"/>
    <mergeCell ref="B32:T32"/>
    <mergeCell ref="B33:T33"/>
    <mergeCell ref="B28:T28"/>
    <mergeCell ref="B29:T29"/>
    <mergeCell ref="Y29:Z33"/>
    <mergeCell ref="AF29:AG33"/>
    <mergeCell ref="U28:W28"/>
    <mergeCell ref="B36:T36"/>
    <mergeCell ref="B37:T37"/>
    <mergeCell ref="B38:T38"/>
    <mergeCell ref="B39:T39"/>
    <mergeCell ref="U39:W39"/>
    <mergeCell ref="B34:T34"/>
    <mergeCell ref="B35:T35"/>
    <mergeCell ref="Y35:Z38"/>
    <mergeCell ref="AF35:AG38"/>
    <mergeCell ref="U34:W34"/>
    <mergeCell ref="AM46:AN48"/>
    <mergeCell ref="B47:T47"/>
    <mergeCell ref="B48:T48"/>
    <mergeCell ref="U45:W45"/>
    <mergeCell ref="AI45:AK45"/>
    <mergeCell ref="B43:T43"/>
    <mergeCell ref="B44:T44"/>
    <mergeCell ref="B45:T45"/>
    <mergeCell ref="Y40:Z44"/>
    <mergeCell ref="B40:T40"/>
    <mergeCell ref="B41:T41"/>
    <mergeCell ref="B42:T42"/>
    <mergeCell ref="AF40:AG44"/>
    <mergeCell ref="AM40:AN44"/>
    <mergeCell ref="B58:T58"/>
    <mergeCell ref="B59:T59"/>
    <mergeCell ref="B60:T60"/>
    <mergeCell ref="B56:T56"/>
    <mergeCell ref="Y56:Z60"/>
    <mergeCell ref="AF56:AG60"/>
    <mergeCell ref="W64:Y64"/>
    <mergeCell ref="B46:T46"/>
    <mergeCell ref="Y46:Z48"/>
    <mergeCell ref="AF46:AG48"/>
    <mergeCell ref="R71:S71"/>
    <mergeCell ref="A73:D73"/>
    <mergeCell ref="U7:W7"/>
    <mergeCell ref="AB7:AD7"/>
    <mergeCell ref="Y8:Z16"/>
    <mergeCell ref="U17:W17"/>
    <mergeCell ref="AB17:AD17"/>
    <mergeCell ref="U21:W21"/>
    <mergeCell ref="B61:T61"/>
    <mergeCell ref="U61:X61"/>
    <mergeCell ref="AB61:AE61"/>
    <mergeCell ref="U55:W55"/>
    <mergeCell ref="B51:T51"/>
    <mergeCell ref="B52:T52"/>
    <mergeCell ref="B53:T53"/>
    <mergeCell ref="B54:T54"/>
    <mergeCell ref="B55:T55"/>
    <mergeCell ref="B49:T49"/>
    <mergeCell ref="B50:T50"/>
    <mergeCell ref="U49:W49"/>
    <mergeCell ref="Y50:Z54"/>
    <mergeCell ref="AB49:AD49"/>
    <mergeCell ref="I64:Q64"/>
    <mergeCell ref="B57:T57"/>
    <mergeCell ref="I66:Q66"/>
    <mergeCell ref="I67:Q67"/>
    <mergeCell ref="AM22:AN27"/>
    <mergeCell ref="AI49:AK49"/>
    <mergeCell ref="AB55:AD55"/>
    <mergeCell ref="AI55:AK55"/>
    <mergeCell ref="AM50:AN54"/>
    <mergeCell ref="AB21:AD21"/>
    <mergeCell ref="AI21:AK21"/>
    <mergeCell ref="AB28:AD28"/>
    <mergeCell ref="AI28:AK28"/>
    <mergeCell ref="AB34:AD34"/>
    <mergeCell ref="AI34:AK34"/>
    <mergeCell ref="AB39:AD39"/>
    <mergeCell ref="AI39:AK39"/>
    <mergeCell ref="AB45:AD45"/>
    <mergeCell ref="AF50:AG54"/>
    <mergeCell ref="AM35:AN38"/>
    <mergeCell ref="AM29:AN33"/>
    <mergeCell ref="AF22:AG27"/>
    <mergeCell ref="I65:Q65"/>
    <mergeCell ref="U66:U68"/>
    <mergeCell ref="AI61:AL61"/>
    <mergeCell ref="AM56:AN60"/>
  </mergeCells>
  <conditionalFormatting sqref="U27:V27">
    <cfRule type="cellIs" dxfId="5" priority="2" operator="greaterThan">
      <formula>2</formula>
    </cfRule>
  </conditionalFormatting>
  <conditionalFormatting sqref="U8:W16 AB8:AD16 AI8:AK16 U18:W20 AB18:AD20 AI18:AK20 U22:W26 AI22:AK27 U29:W33 AB29:AD33 AI29:AK33 U35:W38 AB35:AD38 AI35:AK38 U40:W44 AB40:AD44 AI40:AK44 U46:W48 AB46:AD48 AI46:AK48 U50:W54 AB50:AD54 AI50:AK54 U56:W60 AB56:AD60 AI56:AK60">
    <cfRule type="cellIs" dxfId="4" priority="3" operator="greaterThan">
      <formula>2</formula>
    </cfRule>
  </conditionalFormatting>
  <conditionalFormatting sqref="Z61">
    <cfRule type="cellIs" dxfId="3" priority="6" operator="greaterThanOrEqual">
      <formula>85</formula>
    </cfRule>
  </conditionalFormatting>
  <conditionalFormatting sqref="AB22:AD27">
    <cfRule type="cellIs" dxfId="2" priority="1" operator="greaterThan">
      <formula>2</formula>
    </cfRule>
  </conditionalFormatting>
  <conditionalFormatting sqref="AG61">
    <cfRule type="cellIs" dxfId="1" priority="5" operator="greaterThanOrEqual">
      <formula>85</formula>
    </cfRule>
  </conditionalFormatting>
  <conditionalFormatting sqref="AN61">
    <cfRule type="cellIs" dxfId="0" priority="4" operator="greaterThanOrEqual">
      <formula>85</formula>
    </cfRule>
  </conditionalFormatting>
  <pageMargins left="0" right="0" top="0" bottom="0.35433070866141736" header="0.11811023622047245" footer="0.11811023622047245"/>
  <pageSetup paperSize="8" scale="49" fitToHeight="0" orientation="landscape" r:id="rId1"/>
  <headerFooter>
    <oddFooter>&amp;L&amp;KFF0000Costruzioni Novicrom srl Mod. 073 - VRF Rev. 10&amp;C&amp;"-,Grassetto"Rif. MT CN 03 "Valutazione e Gestione Rischi Fornitura - Risk Management Process"&amp;RPag.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945E-A385-466C-B437-52F6ABCCA622}">
  <sheetPr>
    <pageSetUpPr fitToPage="1"/>
  </sheetPr>
  <dimension ref="A1:I96"/>
  <sheetViews>
    <sheetView zoomScale="50" zoomScaleNormal="50" zoomScaleSheetLayoutView="84" workbookViewId="0">
      <selection activeCell="F8" sqref="F8"/>
    </sheetView>
  </sheetViews>
  <sheetFormatPr defaultColWidth="9.140625" defaultRowHeight="15" outlineLevelRow="1" x14ac:dyDescent="0.25"/>
  <cols>
    <col min="1" max="1" width="9.140625" style="10"/>
    <col min="2" max="2" width="5.7109375" style="36" customWidth="1"/>
    <col min="3" max="3" width="15.7109375" style="10" customWidth="1"/>
    <col min="4" max="4" width="21.140625" style="10" customWidth="1"/>
    <col min="5" max="5" width="44.140625" style="10" customWidth="1"/>
    <col min="6" max="6" width="77.28515625" style="10" customWidth="1"/>
    <col min="7" max="7" width="73.28515625" style="10" customWidth="1"/>
    <col min="8" max="8" width="15.7109375" style="10" bestFit="1" customWidth="1"/>
    <col min="9" max="9" width="15.85546875" style="10" bestFit="1" customWidth="1"/>
    <col min="10" max="16384" width="9.140625" style="10"/>
  </cols>
  <sheetData>
    <row r="1" spans="1:9" s="36" customFormat="1" ht="33.75" customHeight="1" x14ac:dyDescent="0.25">
      <c r="A1" s="32" t="s">
        <v>141</v>
      </c>
      <c r="B1" s="32" t="s">
        <v>98</v>
      </c>
      <c r="C1" s="41" t="s">
        <v>26</v>
      </c>
      <c r="D1" s="41" t="s">
        <v>75</v>
      </c>
      <c r="E1" s="41" t="s">
        <v>76</v>
      </c>
      <c r="F1" s="41" t="s">
        <v>89</v>
      </c>
      <c r="G1" s="41" t="s">
        <v>90</v>
      </c>
      <c r="H1" s="41" t="s">
        <v>88</v>
      </c>
      <c r="I1" s="41" t="s">
        <v>93</v>
      </c>
    </row>
    <row r="2" spans="1:9" ht="33.75" customHeight="1" outlineLevel="1" x14ac:dyDescent="0.25">
      <c r="A2" s="32"/>
      <c r="B2" s="32" t="s">
        <v>94</v>
      </c>
      <c r="C2" s="57"/>
      <c r="D2" s="58"/>
      <c r="E2" s="58"/>
      <c r="F2" s="58"/>
      <c r="G2" s="59"/>
      <c r="H2" s="59"/>
      <c r="I2" s="60"/>
    </row>
    <row r="3" spans="1:9" ht="33.75" customHeight="1" outlineLevel="1" x14ac:dyDescent="0.25">
      <c r="A3" s="25"/>
      <c r="B3" s="25" t="s">
        <v>96</v>
      </c>
      <c r="C3" s="61"/>
      <c r="D3" s="62"/>
      <c r="E3" s="62"/>
      <c r="F3" s="62"/>
      <c r="G3" s="63"/>
      <c r="H3" s="63"/>
      <c r="I3" s="64"/>
    </row>
    <row r="4" spans="1:9" ht="33.75" customHeight="1" outlineLevel="1" x14ac:dyDescent="0.25">
      <c r="A4" s="25"/>
      <c r="B4" s="25" t="s">
        <v>105</v>
      </c>
      <c r="C4" s="61"/>
      <c r="D4" s="62"/>
      <c r="E4" s="62"/>
      <c r="F4" s="62"/>
      <c r="G4" s="63"/>
      <c r="H4" s="63"/>
      <c r="I4" s="64"/>
    </row>
    <row r="5" spans="1:9" ht="33.75" customHeight="1" outlineLevel="1" x14ac:dyDescent="0.25">
      <c r="A5" s="25"/>
      <c r="B5" s="25" t="s">
        <v>106</v>
      </c>
      <c r="C5" s="61"/>
      <c r="D5" s="62"/>
      <c r="E5" s="62"/>
      <c r="F5" s="62"/>
      <c r="G5" s="63"/>
      <c r="H5" s="63"/>
      <c r="I5" s="64"/>
    </row>
    <row r="6" spans="1:9" ht="33.75" customHeight="1" outlineLevel="1" x14ac:dyDescent="0.25">
      <c r="A6" s="25"/>
      <c r="B6" s="25" t="s">
        <v>107</v>
      </c>
      <c r="C6" s="61"/>
      <c r="D6" s="62"/>
      <c r="E6" s="62"/>
      <c r="F6" s="62"/>
      <c r="G6" s="63"/>
      <c r="H6" s="63"/>
      <c r="I6" s="64"/>
    </row>
    <row r="7" spans="1:9" ht="33.75" customHeight="1" outlineLevel="1" x14ac:dyDescent="0.25">
      <c r="A7" s="25"/>
      <c r="B7" s="25" t="s">
        <v>108</v>
      </c>
      <c r="C7" s="61"/>
      <c r="D7" s="62"/>
      <c r="E7" s="62"/>
      <c r="F7" s="62"/>
      <c r="G7" s="63"/>
      <c r="H7" s="63"/>
      <c r="I7" s="64"/>
    </row>
    <row r="8" spans="1:9" ht="33.75" customHeight="1" outlineLevel="1" x14ac:dyDescent="0.25">
      <c r="A8" s="25"/>
      <c r="B8" s="25" t="s">
        <v>109</v>
      </c>
      <c r="C8" s="61"/>
      <c r="D8" s="62"/>
      <c r="E8" s="62"/>
      <c r="F8" s="62"/>
      <c r="G8" s="63"/>
      <c r="H8" s="63"/>
      <c r="I8" s="64"/>
    </row>
    <row r="9" spans="1:9" ht="33.75" customHeight="1" outlineLevel="1" x14ac:dyDescent="0.25">
      <c r="A9" s="25"/>
      <c r="B9" s="25" t="s">
        <v>110</v>
      </c>
      <c r="C9" s="61"/>
      <c r="D9" s="62"/>
      <c r="E9" s="62"/>
      <c r="F9" s="62"/>
      <c r="G9" s="63"/>
      <c r="H9" s="63"/>
      <c r="I9" s="64"/>
    </row>
    <row r="10" spans="1:9" ht="33.75" customHeight="1" outlineLevel="1" x14ac:dyDescent="0.25">
      <c r="A10" s="25"/>
      <c r="B10" s="25" t="s">
        <v>111</v>
      </c>
      <c r="C10" s="61"/>
      <c r="D10" s="62"/>
      <c r="E10" s="62"/>
      <c r="F10" s="62"/>
      <c r="G10" s="63"/>
      <c r="H10" s="63"/>
      <c r="I10" s="64"/>
    </row>
    <row r="11" spans="1:9" ht="33.6" customHeight="1" x14ac:dyDescent="0.25">
      <c r="A11" s="32"/>
      <c r="B11" s="32" t="s">
        <v>95</v>
      </c>
      <c r="C11" s="61"/>
      <c r="D11" s="62"/>
      <c r="E11" s="62"/>
      <c r="F11" s="62"/>
      <c r="G11" s="63"/>
      <c r="H11" s="63"/>
      <c r="I11" s="64"/>
    </row>
    <row r="12" spans="1:9" ht="34.9" customHeight="1" x14ac:dyDescent="0.25">
      <c r="A12" s="25"/>
      <c r="B12" s="25" t="s">
        <v>112</v>
      </c>
      <c r="C12" s="61"/>
      <c r="D12" s="62"/>
      <c r="E12" s="62"/>
      <c r="F12" s="62"/>
      <c r="G12" s="63"/>
      <c r="H12" s="63"/>
      <c r="I12" s="64"/>
    </row>
    <row r="13" spans="1:9" ht="33.6" customHeight="1" x14ac:dyDescent="0.25">
      <c r="A13" s="25"/>
      <c r="B13" s="25" t="s">
        <v>113</v>
      </c>
      <c r="C13" s="61"/>
      <c r="D13" s="62"/>
      <c r="E13" s="62"/>
      <c r="F13" s="62"/>
      <c r="G13" s="63"/>
      <c r="H13" s="63"/>
      <c r="I13" s="64"/>
    </row>
    <row r="14" spans="1:9" ht="33.75" customHeight="1" x14ac:dyDescent="0.25">
      <c r="A14" s="32"/>
      <c r="B14" s="32" t="s">
        <v>97</v>
      </c>
      <c r="C14" s="61"/>
      <c r="D14" s="62"/>
      <c r="E14" s="62"/>
      <c r="F14" s="62"/>
      <c r="G14" s="63"/>
      <c r="H14" s="63"/>
      <c r="I14" s="64"/>
    </row>
    <row r="15" spans="1:9" ht="33.75" customHeight="1" x14ac:dyDescent="0.25">
      <c r="A15" s="25"/>
      <c r="B15" s="25" t="s">
        <v>114</v>
      </c>
      <c r="C15" s="61"/>
      <c r="D15" s="62"/>
      <c r="E15" s="62"/>
      <c r="F15" s="62"/>
      <c r="G15" s="63"/>
      <c r="H15" s="63"/>
      <c r="I15" s="64"/>
    </row>
    <row r="16" spans="1:9" ht="33.75" customHeight="1" x14ac:dyDescent="0.25">
      <c r="A16" s="25"/>
      <c r="B16" s="25" t="s">
        <v>115</v>
      </c>
      <c r="C16" s="61"/>
      <c r="D16" s="62"/>
      <c r="E16" s="62"/>
      <c r="F16" s="62"/>
      <c r="G16" s="63"/>
      <c r="H16" s="63"/>
      <c r="I16" s="64"/>
    </row>
    <row r="17" spans="1:9" ht="33.75" customHeight="1" x14ac:dyDescent="0.25">
      <c r="A17" s="25"/>
      <c r="B17" s="25" t="s">
        <v>116</v>
      </c>
      <c r="C17" s="61"/>
      <c r="D17" s="62"/>
      <c r="E17" s="62"/>
      <c r="F17" s="62"/>
      <c r="G17" s="63"/>
      <c r="H17" s="63"/>
      <c r="I17" s="64"/>
    </row>
    <row r="18" spans="1:9" ht="33.75" customHeight="1" x14ac:dyDescent="0.25">
      <c r="A18" s="25"/>
      <c r="B18" s="25" t="s">
        <v>117</v>
      </c>
      <c r="C18" s="61"/>
      <c r="D18" s="62"/>
      <c r="E18" s="62"/>
      <c r="F18" s="62"/>
      <c r="G18" s="63"/>
      <c r="H18" s="63"/>
      <c r="I18" s="64"/>
    </row>
    <row r="19" spans="1:9" ht="33.75" customHeight="1" x14ac:dyDescent="0.25">
      <c r="A19" s="25"/>
      <c r="B19" s="25" t="s">
        <v>118</v>
      </c>
      <c r="C19" s="65"/>
      <c r="D19" s="66"/>
      <c r="E19" s="66"/>
      <c r="F19" s="66"/>
      <c r="G19" s="63"/>
      <c r="H19" s="63"/>
      <c r="I19" s="64"/>
    </row>
    <row r="20" spans="1:9" ht="33.75" customHeight="1" x14ac:dyDescent="0.25">
      <c r="A20" s="32"/>
      <c r="B20" s="32" t="s">
        <v>99</v>
      </c>
      <c r="C20" s="61"/>
      <c r="D20" s="62"/>
      <c r="E20" s="62"/>
      <c r="F20" s="62"/>
      <c r="G20" s="63"/>
      <c r="H20" s="63"/>
      <c r="I20" s="64"/>
    </row>
    <row r="21" spans="1:9" ht="33.75" customHeight="1" x14ac:dyDescent="0.25">
      <c r="A21" s="25"/>
      <c r="B21" s="25" t="s">
        <v>119</v>
      </c>
      <c r="C21" s="61"/>
      <c r="D21" s="62"/>
      <c r="E21" s="62"/>
      <c r="F21" s="62"/>
      <c r="G21" s="63"/>
      <c r="H21" s="63"/>
      <c r="I21" s="64"/>
    </row>
    <row r="22" spans="1:9" ht="33.75" customHeight="1" x14ac:dyDescent="0.25">
      <c r="A22" s="25"/>
      <c r="B22" s="25" t="s">
        <v>120</v>
      </c>
      <c r="C22" s="61"/>
      <c r="D22" s="62"/>
      <c r="E22" s="62"/>
      <c r="F22" s="62"/>
      <c r="G22" s="63"/>
      <c r="H22" s="63"/>
      <c r="I22" s="64"/>
    </row>
    <row r="23" spans="1:9" ht="33.75" customHeight="1" x14ac:dyDescent="0.25">
      <c r="A23" s="25"/>
      <c r="B23" s="25" t="s">
        <v>121</v>
      </c>
      <c r="C23" s="61"/>
      <c r="D23" s="62"/>
      <c r="E23" s="62"/>
      <c r="F23" s="62"/>
      <c r="G23" s="63"/>
      <c r="H23" s="63"/>
      <c r="I23" s="64"/>
    </row>
    <row r="24" spans="1:9" ht="33.75" customHeight="1" x14ac:dyDescent="0.25">
      <c r="A24" s="25"/>
      <c r="B24" s="25" t="s">
        <v>122</v>
      </c>
      <c r="C24" s="61"/>
      <c r="D24" s="62"/>
      <c r="E24" s="62"/>
      <c r="F24" s="62"/>
      <c r="G24" s="63"/>
      <c r="H24" s="63"/>
      <c r="I24" s="64"/>
    </row>
    <row r="25" spans="1:9" ht="33.75" customHeight="1" x14ac:dyDescent="0.25">
      <c r="A25" s="32"/>
      <c r="B25" s="32" t="s">
        <v>100</v>
      </c>
      <c r="C25" s="65"/>
      <c r="D25" s="67"/>
      <c r="E25" s="67"/>
      <c r="F25" s="67"/>
      <c r="G25" s="63"/>
      <c r="H25" s="63"/>
      <c r="I25" s="64"/>
    </row>
    <row r="26" spans="1:9" ht="33.75" customHeight="1" x14ac:dyDescent="0.25">
      <c r="A26" s="25"/>
      <c r="B26" s="25" t="s">
        <v>123</v>
      </c>
      <c r="C26" s="65"/>
      <c r="D26" s="67"/>
      <c r="E26" s="67"/>
      <c r="F26" s="67"/>
      <c r="G26" s="63"/>
      <c r="H26" s="63"/>
      <c r="I26" s="64"/>
    </row>
    <row r="27" spans="1:9" ht="33.75" customHeight="1" x14ac:dyDescent="0.25">
      <c r="A27" s="25"/>
      <c r="B27" s="25" t="s">
        <v>124</v>
      </c>
      <c r="C27" s="61"/>
      <c r="D27" s="62"/>
      <c r="E27" s="62"/>
      <c r="F27" s="62"/>
      <c r="G27" s="63"/>
      <c r="H27" s="63"/>
      <c r="I27" s="64"/>
    </row>
    <row r="28" spans="1:9" ht="33.75" customHeight="1" x14ac:dyDescent="0.25">
      <c r="A28" s="25"/>
      <c r="B28" s="25" t="s">
        <v>125</v>
      </c>
      <c r="C28" s="61"/>
      <c r="D28" s="62"/>
      <c r="E28" s="62"/>
      <c r="F28" s="62"/>
      <c r="G28" s="63"/>
      <c r="H28" s="63"/>
      <c r="I28" s="64"/>
    </row>
    <row r="29" spans="1:9" ht="33.75" customHeight="1" x14ac:dyDescent="0.25">
      <c r="A29" s="32"/>
      <c r="B29" s="32" t="s">
        <v>101</v>
      </c>
      <c r="C29" s="61"/>
      <c r="D29" s="62"/>
      <c r="E29" s="62"/>
      <c r="F29" s="62"/>
      <c r="G29" s="63"/>
      <c r="H29" s="63"/>
      <c r="I29" s="64"/>
    </row>
    <row r="30" spans="1:9" ht="33.75" customHeight="1" x14ac:dyDescent="0.25">
      <c r="A30" s="25"/>
      <c r="B30" s="25" t="s">
        <v>126</v>
      </c>
      <c r="C30" s="61"/>
      <c r="D30" s="62"/>
      <c r="E30" s="62"/>
      <c r="F30" s="62"/>
      <c r="G30" s="63"/>
      <c r="H30" s="63"/>
      <c r="I30" s="64"/>
    </row>
    <row r="31" spans="1:9" ht="33.75" customHeight="1" x14ac:dyDescent="0.25">
      <c r="A31" s="25"/>
      <c r="B31" s="25" t="s">
        <v>127</v>
      </c>
      <c r="C31" s="61"/>
      <c r="D31" s="62"/>
      <c r="E31" s="62"/>
      <c r="F31" s="62"/>
      <c r="G31" s="63"/>
      <c r="H31" s="63"/>
      <c r="I31" s="64"/>
    </row>
    <row r="32" spans="1:9" ht="33.75" customHeight="1" x14ac:dyDescent="0.25">
      <c r="A32" s="25"/>
      <c r="B32" s="25" t="s">
        <v>128</v>
      </c>
      <c r="C32" s="61"/>
      <c r="D32" s="62"/>
      <c r="E32" s="62"/>
      <c r="F32" s="62"/>
      <c r="G32" s="63"/>
      <c r="H32" s="63"/>
      <c r="I32" s="64"/>
    </row>
    <row r="33" spans="1:9" ht="33.75" customHeight="1" x14ac:dyDescent="0.25">
      <c r="A33" s="25"/>
      <c r="B33" s="25" t="s">
        <v>129</v>
      </c>
      <c r="C33" s="61"/>
      <c r="D33" s="62"/>
      <c r="E33" s="62"/>
      <c r="F33" s="62"/>
      <c r="G33" s="63"/>
      <c r="H33" s="63"/>
      <c r="I33" s="64"/>
    </row>
    <row r="34" spans="1:9" ht="33.75" customHeight="1" x14ac:dyDescent="0.25">
      <c r="A34" s="32"/>
      <c r="B34" s="32" t="s">
        <v>102</v>
      </c>
      <c r="C34" s="61"/>
      <c r="D34" s="62"/>
      <c r="E34" s="62"/>
      <c r="F34" s="62"/>
      <c r="G34" s="63"/>
      <c r="H34" s="63"/>
      <c r="I34" s="64"/>
    </row>
    <row r="35" spans="1:9" ht="33.75" customHeight="1" x14ac:dyDescent="0.25">
      <c r="A35" s="25"/>
      <c r="B35" s="25" t="s">
        <v>130</v>
      </c>
      <c r="C35" s="61"/>
      <c r="D35" s="62"/>
      <c r="E35" s="62"/>
      <c r="F35" s="62"/>
      <c r="G35" s="63"/>
      <c r="H35" s="63"/>
      <c r="I35" s="64"/>
    </row>
    <row r="36" spans="1:9" ht="33.75" customHeight="1" x14ac:dyDescent="0.25">
      <c r="A36" s="25"/>
      <c r="B36" s="25" t="s">
        <v>131</v>
      </c>
      <c r="C36" s="61"/>
      <c r="D36" s="62"/>
      <c r="E36" s="62"/>
      <c r="F36" s="62"/>
      <c r="G36" s="63"/>
      <c r="H36" s="63"/>
      <c r="I36" s="64"/>
    </row>
    <row r="37" spans="1:9" ht="33.75" customHeight="1" x14ac:dyDescent="0.25">
      <c r="A37" s="32"/>
      <c r="B37" s="32" t="s">
        <v>103</v>
      </c>
      <c r="C37" s="61"/>
      <c r="D37" s="62"/>
      <c r="E37" s="62"/>
      <c r="F37" s="62"/>
      <c r="G37" s="63"/>
      <c r="H37" s="63"/>
      <c r="I37" s="64"/>
    </row>
    <row r="38" spans="1:9" ht="33.75" customHeight="1" x14ac:dyDescent="0.25">
      <c r="A38" s="25"/>
      <c r="B38" s="25" t="s">
        <v>132</v>
      </c>
      <c r="C38" s="61"/>
      <c r="D38" s="62"/>
      <c r="E38" s="62"/>
      <c r="F38" s="62"/>
      <c r="G38" s="63"/>
      <c r="H38" s="63"/>
      <c r="I38" s="64"/>
    </row>
    <row r="39" spans="1:9" ht="33.75" customHeight="1" x14ac:dyDescent="0.25">
      <c r="A39" s="25"/>
      <c r="B39" s="25" t="s">
        <v>133</v>
      </c>
      <c r="C39" s="61"/>
      <c r="D39" s="62"/>
      <c r="E39" s="62"/>
      <c r="F39" s="62"/>
      <c r="G39" s="63"/>
      <c r="H39" s="63"/>
      <c r="I39" s="64"/>
    </row>
    <row r="40" spans="1:9" ht="33.75" customHeight="1" x14ac:dyDescent="0.25">
      <c r="A40" s="25"/>
      <c r="B40" s="25" t="s">
        <v>134</v>
      </c>
      <c r="C40" s="61"/>
      <c r="D40" s="62"/>
      <c r="E40" s="62"/>
      <c r="F40" s="62"/>
      <c r="G40" s="63"/>
      <c r="H40" s="63"/>
      <c r="I40" s="64"/>
    </row>
    <row r="41" spans="1:9" ht="33.75" customHeight="1" x14ac:dyDescent="0.25">
      <c r="A41" s="25"/>
      <c r="B41" s="25" t="s">
        <v>135</v>
      </c>
      <c r="C41" s="65"/>
      <c r="D41" s="67"/>
      <c r="E41" s="67"/>
      <c r="F41" s="67"/>
      <c r="G41" s="63"/>
      <c r="H41" s="63"/>
      <c r="I41" s="64"/>
    </row>
    <row r="42" spans="1:9" ht="38.25" customHeight="1" x14ac:dyDescent="0.25">
      <c r="A42" s="32"/>
      <c r="B42" s="32" t="s">
        <v>104</v>
      </c>
      <c r="C42" s="61"/>
      <c r="D42" s="62"/>
      <c r="E42" s="62"/>
      <c r="F42" s="62"/>
      <c r="G42" s="63"/>
      <c r="H42" s="63"/>
      <c r="I42" s="64"/>
    </row>
    <row r="43" spans="1:9" ht="38.25" customHeight="1" x14ac:dyDescent="0.25">
      <c r="A43" s="25"/>
      <c r="B43" s="25" t="s">
        <v>136</v>
      </c>
      <c r="C43" s="61"/>
      <c r="D43" s="62"/>
      <c r="E43" s="62"/>
      <c r="F43" s="62"/>
      <c r="G43" s="63"/>
      <c r="H43" s="63"/>
      <c r="I43" s="64"/>
    </row>
    <row r="44" spans="1:9" ht="38.25" customHeight="1" x14ac:dyDescent="0.25">
      <c r="A44" s="25"/>
      <c r="B44" s="25" t="s">
        <v>137</v>
      </c>
      <c r="C44" s="61"/>
      <c r="D44" s="62"/>
      <c r="E44" s="62"/>
      <c r="F44" s="62"/>
      <c r="G44" s="63"/>
      <c r="H44" s="63"/>
      <c r="I44" s="64"/>
    </row>
    <row r="45" spans="1:9" ht="38.25" customHeight="1" x14ac:dyDescent="0.25">
      <c r="A45" s="25"/>
      <c r="B45" s="25" t="s">
        <v>138</v>
      </c>
      <c r="C45" s="61"/>
      <c r="D45" s="62"/>
      <c r="E45" s="62"/>
      <c r="F45" s="62"/>
      <c r="G45" s="63"/>
      <c r="H45" s="63"/>
      <c r="I45" s="64"/>
    </row>
    <row r="46" spans="1:9" ht="38.25" customHeight="1" x14ac:dyDescent="0.25">
      <c r="A46" s="25"/>
      <c r="B46" s="25" t="s">
        <v>139</v>
      </c>
      <c r="C46" s="68"/>
      <c r="D46" s="69"/>
      <c r="E46" s="69"/>
      <c r="F46" s="69"/>
      <c r="G46" s="70"/>
      <c r="H46" s="70"/>
      <c r="I46" s="71"/>
    </row>
    <row r="47" spans="1:9" ht="12.75" customHeight="1" x14ac:dyDescent="0.25">
      <c r="B47" s="8"/>
      <c r="C47" s="1"/>
      <c r="D47" s="1"/>
      <c r="E47" s="1"/>
      <c r="F47" s="1"/>
    </row>
    <row r="48" spans="1:9" ht="15.75" x14ac:dyDescent="0.25">
      <c r="B48" s="8"/>
      <c r="C48" s="1"/>
      <c r="D48" s="1"/>
      <c r="E48" s="1"/>
      <c r="F48" s="1"/>
    </row>
    <row r="49" spans="2:6" ht="21.75" customHeight="1" x14ac:dyDescent="0.25"/>
    <row r="50" spans="2:6" ht="21.75" customHeight="1" x14ac:dyDescent="0.25"/>
    <row r="52" spans="2:6" ht="21.75" customHeight="1" x14ac:dyDescent="0.25"/>
    <row r="53" spans="2:6" ht="22.5" customHeight="1" x14ac:dyDescent="0.25"/>
    <row r="54" spans="2:6" ht="21" customHeight="1" x14ac:dyDescent="0.25"/>
    <row r="55" spans="2:6" ht="21" customHeight="1" x14ac:dyDescent="0.25"/>
    <row r="56" spans="2:6" ht="21" customHeight="1" x14ac:dyDescent="0.25"/>
    <row r="57" spans="2:6" ht="13.5" customHeight="1" x14ac:dyDescent="0.25">
      <c r="B57" s="8"/>
      <c r="C57" s="1"/>
      <c r="D57" s="1"/>
      <c r="E57" s="1"/>
      <c r="F57" s="1"/>
    </row>
    <row r="58" spans="2:6" ht="20.25" customHeight="1" x14ac:dyDescent="0.25">
      <c r="B58" s="99"/>
      <c r="C58" s="99"/>
      <c r="D58" s="99"/>
      <c r="E58" s="99"/>
      <c r="F58" s="38"/>
    </row>
    <row r="59" spans="2:6" ht="14.25" customHeight="1" x14ac:dyDescent="0.25">
      <c r="B59" s="37"/>
      <c r="C59" s="1"/>
    </row>
    <row r="60" spans="2:6" ht="130.69999999999999" customHeight="1" x14ac:dyDescent="0.25">
      <c r="D60" s="18"/>
      <c r="E60" s="18"/>
      <c r="F60" s="18"/>
    </row>
    <row r="61" spans="2:6" ht="50.25" customHeight="1" x14ac:dyDescent="0.25"/>
    <row r="62" spans="2:6" ht="30" customHeight="1" x14ac:dyDescent="0.25"/>
    <row r="63" spans="2:6" ht="35.1" customHeight="1" x14ac:dyDescent="0.25"/>
    <row r="64" spans="2:6" s="20" customFormat="1" ht="35.1" customHeight="1" x14ac:dyDescent="0.25"/>
    <row r="65" s="20" customFormat="1" ht="35.1" customHeight="1" x14ac:dyDescent="0.25"/>
    <row r="66" s="20" customFormat="1" ht="35.1" customHeight="1" x14ac:dyDescent="0.25"/>
    <row r="67" s="20" customFormat="1" ht="35.1" customHeight="1" x14ac:dyDescent="0.25"/>
    <row r="68" s="20" customFormat="1" ht="35.1" customHeight="1" x14ac:dyDescent="0.25"/>
    <row r="69" s="20" customFormat="1" ht="35.1" customHeight="1" x14ac:dyDescent="0.25"/>
    <row r="70" ht="35.1" customHeight="1" x14ac:dyDescent="0.25"/>
    <row r="71" ht="35.1" customHeight="1" x14ac:dyDescent="0.25"/>
    <row r="72" ht="35.1" customHeight="1" x14ac:dyDescent="0.25"/>
    <row r="73" ht="35.1" customHeight="1" x14ac:dyDescent="0.25"/>
    <row r="74" ht="35.1" customHeight="1" x14ac:dyDescent="0.25"/>
    <row r="75" ht="35.1" customHeight="1" x14ac:dyDescent="0.25"/>
    <row r="76" ht="35.1" customHeight="1" x14ac:dyDescent="0.25"/>
    <row r="77" ht="35.1" customHeight="1" x14ac:dyDescent="0.25"/>
    <row r="78" ht="35.1" customHeight="1" x14ac:dyDescent="0.25"/>
    <row r="79" ht="35.1" customHeight="1" x14ac:dyDescent="0.25"/>
    <row r="80" ht="35.1" customHeight="1" x14ac:dyDescent="0.25"/>
    <row r="81" ht="35.1" customHeight="1" x14ac:dyDescent="0.25"/>
    <row r="82" ht="35.1" customHeight="1" x14ac:dyDescent="0.25"/>
    <row r="83" ht="35.1" customHeight="1" x14ac:dyDescent="0.25"/>
    <row r="84" ht="35.1" customHeight="1" x14ac:dyDescent="0.25"/>
    <row r="85" ht="35.1" customHeight="1" x14ac:dyDescent="0.25"/>
    <row r="86" ht="35.1" customHeight="1" x14ac:dyDescent="0.25"/>
    <row r="87" ht="35.1" customHeight="1" x14ac:dyDescent="0.25"/>
    <row r="88" ht="35.1" customHeight="1" x14ac:dyDescent="0.25"/>
    <row r="89" ht="35.1" customHeight="1" x14ac:dyDescent="0.25"/>
    <row r="90" ht="35.1" customHeight="1" x14ac:dyDescent="0.25"/>
    <row r="91" ht="35.1" customHeight="1" x14ac:dyDescent="0.25"/>
    <row r="92" ht="35.1" customHeight="1" x14ac:dyDescent="0.25"/>
    <row r="93" ht="35.1" customHeight="1" x14ac:dyDescent="0.25"/>
    <row r="94" ht="35.1" customHeight="1" x14ac:dyDescent="0.25"/>
    <row r="95" ht="30" customHeight="1" x14ac:dyDescent="0.25"/>
    <row r="96" ht="30" customHeight="1" x14ac:dyDescent="0.25"/>
  </sheetData>
  <sheetProtection selectLockedCells="1"/>
  <mergeCells count="1">
    <mergeCell ref="B58:E58"/>
  </mergeCells>
  <pageMargins left="0" right="0" top="0" bottom="0.35433070866141736" header="0.11811023622047245" footer="0.11811023622047245"/>
  <pageSetup paperSize="9" scale="41" fitToHeight="0" orientation="landscape" r:id="rId1"/>
  <headerFooter>
    <oddFooter>&amp;L&amp;KFF0000Costruzioni Novicrom srl Mod. 073 - VRF Rev. 10&amp;C&amp;"-,Grassetto"Rif. MT CN 03 "Valutazione e Gestione Rischi Fornitura - Risk Management Process"&amp;RPag. &amp;P/&amp;N</oddFooter>
  </headerFooter>
</worksheet>
</file>

<file path=docMetadata/LabelInfo.xml><?xml version="1.0" encoding="utf-8"?>
<clbl:labelList xmlns:clbl="http://schemas.microsoft.com/office/2020/mipLabelMetadata">
  <clbl:label id="{3d97d42b-3385-4569-9137-a80e9fa94ef6}" enabled="1" method="Standard" siteId="{79a1c748-74d7-48e3-8366-076a530628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VRF</vt:lpstr>
      <vt:lpstr>AC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m.lupi</dc:creator>
  <cp:lastModifiedBy>Luca Bova</cp:lastModifiedBy>
  <cp:lastPrinted>2021-10-18T13:59:21Z</cp:lastPrinted>
  <dcterms:created xsi:type="dcterms:W3CDTF">2017-05-05T11:59:25Z</dcterms:created>
  <dcterms:modified xsi:type="dcterms:W3CDTF">2026-04-09T11:58:19Z</dcterms:modified>
</cp:coreProperties>
</file>